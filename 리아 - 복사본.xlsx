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aj08\OneDrive\문서\trpg\아카이브\trpg_app\"/>
    </mc:Choice>
  </mc:AlternateContent>
  <bookViews>
    <workbookView xWindow="0" yWindow="0" windowWidth="10730" windowHeight="2930" activeTab="2"/>
  </bookViews>
  <sheets>
    <sheet name="리아" sheetId="5" r:id="rId1"/>
    <sheet name="루나" sheetId="6" r:id="rId2"/>
    <sheet name="세실리아" sheetId="9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5" i="9" l="1"/>
  <c r="P5" i="6"/>
  <c r="F8" i="6"/>
  <c r="I55" i="9" l="1"/>
  <c r="I54" i="9"/>
  <c r="I53" i="9"/>
  <c r="I52" i="9"/>
  <c r="I51" i="9"/>
  <c r="I50" i="9"/>
  <c r="I49" i="9"/>
  <c r="I48" i="9"/>
  <c r="I47" i="9"/>
  <c r="I46" i="9"/>
  <c r="E55" i="9"/>
  <c r="E54" i="9"/>
  <c r="E53" i="9"/>
  <c r="E52" i="9"/>
  <c r="E51" i="9"/>
  <c r="E50" i="9"/>
  <c r="E49" i="9"/>
  <c r="E48" i="9"/>
  <c r="E47" i="9"/>
  <c r="E46" i="9"/>
  <c r="M42" i="9"/>
  <c r="I42" i="9"/>
  <c r="E42" i="9"/>
  <c r="M41" i="9"/>
  <c r="I41" i="9"/>
  <c r="E41" i="9"/>
  <c r="M40" i="9"/>
  <c r="I40" i="9"/>
  <c r="E40" i="9"/>
  <c r="M39" i="9"/>
  <c r="I39" i="9"/>
  <c r="E39" i="9"/>
  <c r="M38" i="9"/>
  <c r="I38" i="9"/>
  <c r="E38" i="9"/>
  <c r="M37" i="9"/>
  <c r="I37" i="9"/>
  <c r="E37" i="9"/>
  <c r="M36" i="9"/>
  <c r="I36" i="9"/>
  <c r="E36" i="9"/>
  <c r="M35" i="9"/>
  <c r="I35" i="9"/>
  <c r="E35" i="9"/>
  <c r="M34" i="9"/>
  <c r="I34" i="9"/>
  <c r="E34" i="9"/>
  <c r="M33" i="9"/>
  <c r="I33" i="9"/>
  <c r="E33" i="9"/>
  <c r="O15" i="9"/>
  <c r="N15" i="9"/>
  <c r="M15" i="9"/>
  <c r="L15" i="9"/>
  <c r="K15" i="9"/>
  <c r="J15" i="9"/>
  <c r="I15" i="9"/>
  <c r="H15" i="9"/>
  <c r="G15" i="9"/>
  <c r="F15" i="9"/>
  <c r="E15" i="9"/>
  <c r="D15" i="9"/>
  <c r="O14" i="9"/>
  <c r="N14" i="9"/>
  <c r="M14" i="9"/>
  <c r="L14" i="9"/>
  <c r="K14" i="9"/>
  <c r="J14" i="9"/>
  <c r="I14" i="9"/>
  <c r="H14" i="9"/>
  <c r="G14" i="9"/>
  <c r="F14" i="9"/>
  <c r="E14" i="9"/>
  <c r="D14" i="9"/>
  <c r="O13" i="9"/>
  <c r="N13" i="9"/>
  <c r="M13" i="9"/>
  <c r="L13" i="9"/>
  <c r="K13" i="9"/>
  <c r="J13" i="9"/>
  <c r="I13" i="9"/>
  <c r="H13" i="9"/>
  <c r="G13" i="9"/>
  <c r="F13" i="9"/>
  <c r="E13" i="9"/>
  <c r="D13" i="9"/>
  <c r="O12" i="9"/>
  <c r="N12" i="9"/>
  <c r="M12" i="9"/>
  <c r="L12" i="9"/>
  <c r="K12" i="9"/>
  <c r="J12" i="9"/>
  <c r="I12" i="9"/>
  <c r="H12" i="9"/>
  <c r="G12" i="9"/>
  <c r="F12" i="9"/>
  <c r="E12" i="9"/>
  <c r="D12" i="9"/>
  <c r="O11" i="9"/>
  <c r="N11" i="9"/>
  <c r="M11" i="9"/>
  <c r="L11" i="9"/>
  <c r="K11" i="9"/>
  <c r="J11" i="9"/>
  <c r="I11" i="9"/>
  <c r="H11" i="9"/>
  <c r="G11" i="9"/>
  <c r="F11" i="9"/>
  <c r="E11" i="9"/>
  <c r="D11" i="9"/>
  <c r="O10" i="9"/>
  <c r="N10" i="9"/>
  <c r="M10" i="9"/>
  <c r="L10" i="9"/>
  <c r="K10" i="9"/>
  <c r="J10" i="9"/>
  <c r="I10" i="9"/>
  <c r="H10" i="9"/>
  <c r="G10" i="9"/>
  <c r="F10" i="9"/>
  <c r="E10" i="9"/>
  <c r="D10" i="9"/>
  <c r="O9" i="9"/>
  <c r="N9" i="9"/>
  <c r="M9" i="9"/>
  <c r="L9" i="9"/>
  <c r="K9" i="9"/>
  <c r="J9" i="9"/>
  <c r="I9" i="9"/>
  <c r="H9" i="9"/>
  <c r="G9" i="9"/>
  <c r="F9" i="9"/>
  <c r="E9" i="9"/>
  <c r="D9" i="9"/>
  <c r="O8" i="9"/>
  <c r="N8" i="9"/>
  <c r="M8" i="9"/>
  <c r="L8" i="9"/>
  <c r="K8" i="9"/>
  <c r="J8" i="9"/>
  <c r="I8" i="9"/>
  <c r="H8" i="9"/>
  <c r="G8" i="9"/>
  <c r="F8" i="9"/>
  <c r="E8" i="9"/>
  <c r="D8" i="9"/>
  <c r="O7" i="9"/>
  <c r="N7" i="9"/>
  <c r="M7" i="9"/>
  <c r="L7" i="9"/>
  <c r="K7" i="9"/>
  <c r="J7" i="9"/>
  <c r="I7" i="9"/>
  <c r="H7" i="9"/>
  <c r="G7" i="9"/>
  <c r="F7" i="9"/>
  <c r="E7" i="9"/>
  <c r="D7" i="9"/>
  <c r="O6" i="9"/>
  <c r="N6" i="9"/>
  <c r="M6" i="9"/>
  <c r="L6" i="9"/>
  <c r="K6" i="9"/>
  <c r="J6" i="9"/>
  <c r="I6" i="9"/>
  <c r="H6" i="9"/>
  <c r="G6" i="9"/>
  <c r="F6" i="9"/>
  <c r="E6" i="9"/>
  <c r="D6" i="9"/>
  <c r="R11" i="9" l="1"/>
  <c r="U11" i="9" s="1"/>
  <c r="R15" i="9"/>
  <c r="U15" i="9" s="1"/>
  <c r="S33" i="9" s="1"/>
  <c r="R14" i="9"/>
  <c r="U14" i="9" s="1"/>
  <c r="R9" i="9"/>
  <c r="U9" i="9" s="1"/>
  <c r="R6" i="9"/>
  <c r="U6" i="9" s="1"/>
  <c r="R10" i="9"/>
  <c r="R8" i="9"/>
  <c r="U8" i="9" s="1"/>
  <c r="R13" i="9"/>
  <c r="U13" i="9" s="1"/>
  <c r="R5" i="9"/>
  <c r="U5" i="9" s="1"/>
  <c r="R12" i="9"/>
  <c r="U12" i="9" s="1"/>
  <c r="R4" i="9"/>
  <c r="U4" i="9" s="1"/>
  <c r="R7" i="9"/>
  <c r="U7" i="9" s="1"/>
  <c r="U10" i="9"/>
  <c r="T34" i="9"/>
  <c r="F55" i="5"/>
  <c r="F54" i="5"/>
  <c r="F53" i="5"/>
  <c r="F52" i="5"/>
  <c r="F51" i="5"/>
  <c r="F50" i="5"/>
  <c r="F49" i="5"/>
  <c r="F48" i="5"/>
  <c r="F47" i="5"/>
  <c r="F46" i="5"/>
  <c r="K42" i="5"/>
  <c r="K41" i="5"/>
  <c r="K40" i="5"/>
  <c r="K39" i="5"/>
  <c r="K38" i="5"/>
  <c r="K37" i="5"/>
  <c r="K36" i="5"/>
  <c r="K35" i="5"/>
  <c r="K34" i="5"/>
  <c r="K33" i="5"/>
  <c r="U42" i="5"/>
  <c r="U41" i="5"/>
  <c r="U40" i="5"/>
  <c r="U39" i="5"/>
  <c r="U38" i="5"/>
  <c r="U37" i="5"/>
  <c r="U36" i="5"/>
  <c r="U35" i="5"/>
  <c r="U34" i="5"/>
  <c r="U33" i="5"/>
  <c r="F36" i="5"/>
  <c r="F37" i="5"/>
  <c r="F38" i="5"/>
  <c r="F39" i="5"/>
  <c r="F40" i="5"/>
  <c r="F41" i="5"/>
  <c r="F42" i="5"/>
  <c r="F35" i="5"/>
  <c r="F34" i="5"/>
  <c r="F33" i="5"/>
  <c r="E55" i="6"/>
  <c r="E54" i="6"/>
  <c r="E53" i="6"/>
  <c r="E52" i="6"/>
  <c r="E51" i="6"/>
  <c r="E50" i="6"/>
  <c r="E49" i="6"/>
  <c r="E48" i="6"/>
  <c r="E47" i="6"/>
  <c r="E46" i="6"/>
  <c r="M42" i="6"/>
  <c r="I42" i="6"/>
  <c r="E42" i="6"/>
  <c r="M41" i="6"/>
  <c r="I41" i="6"/>
  <c r="E41" i="6"/>
  <c r="M40" i="6"/>
  <c r="I40" i="6"/>
  <c r="E40" i="6"/>
  <c r="M39" i="6"/>
  <c r="I39" i="6"/>
  <c r="E39" i="6"/>
  <c r="M38" i="6"/>
  <c r="I38" i="6"/>
  <c r="E38" i="6"/>
  <c r="M37" i="6"/>
  <c r="I37" i="6"/>
  <c r="E37" i="6"/>
  <c r="M36" i="6"/>
  <c r="I36" i="6"/>
  <c r="E36" i="6"/>
  <c r="M35" i="6"/>
  <c r="I35" i="6"/>
  <c r="E35" i="6"/>
  <c r="M34" i="6"/>
  <c r="I34" i="6"/>
  <c r="E34" i="6"/>
  <c r="M33" i="6"/>
  <c r="I33" i="6"/>
  <c r="E33" i="6"/>
  <c r="O15" i="6"/>
  <c r="N15" i="6"/>
  <c r="M15" i="6"/>
  <c r="L15" i="6"/>
  <c r="K15" i="6"/>
  <c r="J15" i="6"/>
  <c r="I15" i="6"/>
  <c r="H15" i="6"/>
  <c r="G15" i="6"/>
  <c r="F15" i="6"/>
  <c r="E15" i="6"/>
  <c r="D15" i="6"/>
  <c r="O14" i="6"/>
  <c r="N14" i="6"/>
  <c r="M14" i="6"/>
  <c r="L14" i="6"/>
  <c r="K14" i="6"/>
  <c r="J14" i="6"/>
  <c r="I14" i="6"/>
  <c r="H14" i="6"/>
  <c r="G14" i="6"/>
  <c r="F14" i="6"/>
  <c r="E14" i="6"/>
  <c r="D14" i="6"/>
  <c r="O13" i="6"/>
  <c r="N13" i="6"/>
  <c r="M13" i="6"/>
  <c r="L13" i="6"/>
  <c r="K13" i="6"/>
  <c r="J13" i="6"/>
  <c r="I13" i="6"/>
  <c r="H13" i="6"/>
  <c r="G13" i="6"/>
  <c r="F13" i="6"/>
  <c r="E13" i="6"/>
  <c r="D13" i="6"/>
  <c r="O12" i="6"/>
  <c r="N12" i="6"/>
  <c r="M12" i="6"/>
  <c r="L12" i="6"/>
  <c r="K12" i="6"/>
  <c r="J12" i="6"/>
  <c r="I12" i="6"/>
  <c r="H12" i="6"/>
  <c r="G12" i="6"/>
  <c r="F12" i="6"/>
  <c r="E12" i="6"/>
  <c r="D12" i="6"/>
  <c r="O11" i="6"/>
  <c r="N11" i="6"/>
  <c r="M11" i="6"/>
  <c r="L11" i="6"/>
  <c r="K11" i="6"/>
  <c r="J11" i="6"/>
  <c r="I11" i="6"/>
  <c r="H11" i="6"/>
  <c r="G11" i="6"/>
  <c r="F11" i="6"/>
  <c r="E11" i="6"/>
  <c r="D11" i="6"/>
  <c r="O10" i="6"/>
  <c r="N10" i="6"/>
  <c r="M10" i="6"/>
  <c r="L10" i="6"/>
  <c r="K10" i="6"/>
  <c r="J10" i="6"/>
  <c r="I10" i="6"/>
  <c r="H10" i="6"/>
  <c r="G10" i="6"/>
  <c r="F10" i="6"/>
  <c r="E10" i="6"/>
  <c r="D10" i="6"/>
  <c r="O9" i="6"/>
  <c r="N9" i="6"/>
  <c r="M9" i="6"/>
  <c r="L9" i="6"/>
  <c r="K9" i="6"/>
  <c r="J9" i="6"/>
  <c r="I9" i="6"/>
  <c r="H9" i="6"/>
  <c r="G9" i="6"/>
  <c r="F9" i="6"/>
  <c r="E9" i="6"/>
  <c r="D9" i="6"/>
  <c r="O8" i="6"/>
  <c r="N8" i="6"/>
  <c r="M8" i="6"/>
  <c r="L8" i="6"/>
  <c r="K8" i="6"/>
  <c r="J8" i="6"/>
  <c r="I8" i="6"/>
  <c r="H8" i="6"/>
  <c r="G8" i="6"/>
  <c r="E8" i="6"/>
  <c r="D8" i="6"/>
  <c r="O7" i="6"/>
  <c r="N7" i="6"/>
  <c r="M7" i="6"/>
  <c r="L7" i="6"/>
  <c r="K7" i="6"/>
  <c r="J7" i="6"/>
  <c r="I7" i="6"/>
  <c r="H7" i="6"/>
  <c r="G7" i="6"/>
  <c r="F7" i="6"/>
  <c r="E7" i="6"/>
  <c r="D7" i="6"/>
  <c r="O6" i="6"/>
  <c r="N6" i="6"/>
  <c r="M6" i="6"/>
  <c r="L6" i="6"/>
  <c r="K6" i="6"/>
  <c r="J6" i="6"/>
  <c r="I6" i="6"/>
  <c r="H6" i="6"/>
  <c r="G6" i="6"/>
  <c r="F6" i="6"/>
  <c r="E6" i="6"/>
  <c r="D6" i="6"/>
  <c r="R11" i="6" l="1"/>
  <c r="U11" i="6" s="1"/>
  <c r="R4" i="6"/>
  <c r="U4" i="6" s="1"/>
  <c r="R14" i="6"/>
  <c r="U14" i="6" s="1"/>
  <c r="R13" i="6"/>
  <c r="U13" i="6" s="1"/>
  <c r="R8" i="6"/>
  <c r="U8" i="6" s="1"/>
  <c r="R10" i="6"/>
  <c r="U10" i="6" s="1"/>
  <c r="R15" i="6"/>
  <c r="U15" i="6" s="1"/>
  <c r="R12" i="6"/>
  <c r="U12" i="6" s="1"/>
  <c r="R9" i="6"/>
  <c r="U9" i="6" s="1"/>
  <c r="R6" i="6"/>
  <c r="U6" i="6" s="1"/>
  <c r="R5" i="6"/>
  <c r="U5" i="6" s="1"/>
  <c r="R7" i="6"/>
  <c r="U7" i="6" s="1"/>
  <c r="S33" i="6"/>
  <c r="T34" i="6"/>
  <c r="O15" i="5"/>
  <c r="N15" i="5"/>
  <c r="M15" i="5"/>
  <c r="L15" i="5"/>
  <c r="K15" i="5"/>
  <c r="J15" i="5"/>
  <c r="I15" i="5"/>
  <c r="H15" i="5"/>
  <c r="G15" i="5"/>
  <c r="F15" i="5"/>
  <c r="E15" i="5"/>
  <c r="D15" i="5"/>
  <c r="O14" i="5"/>
  <c r="N14" i="5"/>
  <c r="M14" i="5"/>
  <c r="L14" i="5"/>
  <c r="K14" i="5"/>
  <c r="J14" i="5"/>
  <c r="I14" i="5"/>
  <c r="H14" i="5"/>
  <c r="G14" i="5"/>
  <c r="F14" i="5"/>
  <c r="E14" i="5"/>
  <c r="D14" i="5"/>
  <c r="O13" i="5"/>
  <c r="N13" i="5"/>
  <c r="M13" i="5"/>
  <c r="L13" i="5"/>
  <c r="K13" i="5"/>
  <c r="J13" i="5"/>
  <c r="I13" i="5"/>
  <c r="H13" i="5"/>
  <c r="G13" i="5"/>
  <c r="F13" i="5"/>
  <c r="E13" i="5"/>
  <c r="D13" i="5"/>
  <c r="O12" i="5"/>
  <c r="N12" i="5"/>
  <c r="M12" i="5"/>
  <c r="L12" i="5"/>
  <c r="K12" i="5"/>
  <c r="J12" i="5"/>
  <c r="I12" i="5"/>
  <c r="H12" i="5"/>
  <c r="G12" i="5"/>
  <c r="F12" i="5"/>
  <c r="E12" i="5"/>
  <c r="D12" i="5"/>
  <c r="O11" i="5"/>
  <c r="N11" i="5"/>
  <c r="M11" i="5"/>
  <c r="L11" i="5"/>
  <c r="K11" i="5"/>
  <c r="J11" i="5"/>
  <c r="I11" i="5"/>
  <c r="H11" i="5"/>
  <c r="G11" i="5"/>
  <c r="F11" i="5"/>
  <c r="E11" i="5"/>
  <c r="D11" i="5"/>
  <c r="O10" i="5"/>
  <c r="N10" i="5"/>
  <c r="M10" i="5"/>
  <c r="L10" i="5"/>
  <c r="K10" i="5"/>
  <c r="J10" i="5"/>
  <c r="I10" i="5"/>
  <c r="H10" i="5"/>
  <c r="G10" i="5"/>
  <c r="F10" i="5"/>
  <c r="E10" i="5"/>
  <c r="D10" i="5"/>
  <c r="O9" i="5"/>
  <c r="N9" i="5"/>
  <c r="M9" i="5"/>
  <c r="L9" i="5"/>
  <c r="K9" i="5"/>
  <c r="J9" i="5"/>
  <c r="I9" i="5"/>
  <c r="H9" i="5"/>
  <c r="G9" i="5"/>
  <c r="F9" i="5"/>
  <c r="E9" i="5"/>
  <c r="D9" i="5"/>
  <c r="O8" i="5"/>
  <c r="N8" i="5"/>
  <c r="M8" i="5"/>
  <c r="L8" i="5"/>
  <c r="K8" i="5"/>
  <c r="J8" i="5"/>
  <c r="I8" i="5"/>
  <c r="H8" i="5"/>
  <c r="G8" i="5"/>
  <c r="F8" i="5"/>
  <c r="E8" i="5"/>
  <c r="D8" i="5"/>
  <c r="O7" i="5"/>
  <c r="N7" i="5"/>
  <c r="M7" i="5"/>
  <c r="L7" i="5"/>
  <c r="K7" i="5"/>
  <c r="J7" i="5"/>
  <c r="I7" i="5"/>
  <c r="H7" i="5"/>
  <c r="G7" i="5"/>
  <c r="F7" i="5"/>
  <c r="E7" i="5"/>
  <c r="D7" i="5"/>
  <c r="O6" i="5"/>
  <c r="N6" i="5"/>
  <c r="M6" i="5"/>
  <c r="L6" i="5"/>
  <c r="K6" i="5"/>
  <c r="J6" i="5"/>
  <c r="I6" i="5"/>
  <c r="H6" i="5"/>
  <c r="G6" i="5"/>
  <c r="F6" i="5"/>
  <c r="E6" i="5"/>
  <c r="D6" i="5"/>
  <c r="R10" i="5" l="1"/>
  <c r="P5" i="5" s="1"/>
  <c r="R7" i="5"/>
  <c r="U7" i="5" s="1"/>
  <c r="R14" i="5"/>
  <c r="U14" i="5" s="1"/>
  <c r="R13" i="5"/>
  <c r="U13" i="5" s="1"/>
  <c r="R6" i="5"/>
  <c r="U6" i="5" s="1"/>
  <c r="R12" i="5"/>
  <c r="U12" i="5" s="1"/>
  <c r="R15" i="5"/>
  <c r="U15" i="5" s="1"/>
  <c r="Z5" i="5" s="1"/>
  <c r="R11" i="5"/>
  <c r="U11" i="5" s="1"/>
  <c r="R9" i="5"/>
  <c r="U9" i="5" s="1"/>
  <c r="R5" i="5"/>
  <c r="U5" i="5" s="1"/>
  <c r="R8" i="5"/>
  <c r="U8" i="5" s="1"/>
  <c r="Y4" i="5"/>
  <c r="R4" i="5"/>
  <c r="U4" i="5" s="1"/>
  <c r="U10" i="5" l="1"/>
</calcChain>
</file>

<file path=xl/sharedStrings.xml><?xml version="1.0" encoding="utf-8"?>
<sst xmlns="http://schemas.openxmlformats.org/spreadsheetml/2006/main" count="509" uniqueCount="92">
  <si>
    <t>이름</t>
    <phoneticPr fontId="6" type="noConversion"/>
  </si>
  <si>
    <t>능력치</t>
    <phoneticPr fontId="6" type="noConversion"/>
  </si>
  <si>
    <t>체력</t>
    <phoneticPr fontId="6" type="noConversion"/>
  </si>
  <si>
    <t>힘</t>
    <phoneticPr fontId="6" type="noConversion"/>
  </si>
  <si>
    <t>장비</t>
    <phoneticPr fontId="6" type="noConversion"/>
  </si>
  <si>
    <t>기본</t>
    <phoneticPr fontId="6" type="noConversion"/>
  </si>
  <si>
    <t>스테미나</t>
    <phoneticPr fontId="6" type="noConversion"/>
  </si>
  <si>
    <t>머리</t>
    <phoneticPr fontId="6" type="noConversion"/>
  </si>
  <si>
    <t>상의</t>
    <phoneticPr fontId="6" type="noConversion"/>
  </si>
  <si>
    <t>하의</t>
    <phoneticPr fontId="6" type="noConversion"/>
  </si>
  <si>
    <t>신발</t>
    <phoneticPr fontId="6" type="noConversion"/>
  </si>
  <si>
    <t>속도</t>
    <phoneticPr fontId="6" type="noConversion"/>
  </si>
  <si>
    <t>정밀</t>
    <phoneticPr fontId="6" type="noConversion"/>
  </si>
  <si>
    <t>지능</t>
    <phoneticPr fontId="6" type="noConversion"/>
  </si>
  <si>
    <t>지혜</t>
    <phoneticPr fontId="6" type="noConversion"/>
  </si>
  <si>
    <t>매력</t>
    <phoneticPr fontId="6" type="noConversion"/>
  </si>
  <si>
    <t>외투</t>
    <phoneticPr fontId="6" type="noConversion"/>
  </si>
  <si>
    <t>장갑</t>
    <phoneticPr fontId="6" type="noConversion"/>
  </si>
  <si>
    <t>장신구</t>
    <phoneticPr fontId="6" type="noConversion"/>
  </si>
  <si>
    <t>반지</t>
    <phoneticPr fontId="6" type="noConversion"/>
  </si>
  <si>
    <t>목걸이</t>
    <phoneticPr fontId="6" type="noConversion"/>
  </si>
  <si>
    <t>귀걸이</t>
    <phoneticPr fontId="6" type="noConversion"/>
  </si>
  <si>
    <t>팔찌</t>
    <phoneticPr fontId="6" type="noConversion"/>
  </si>
  <si>
    <t>합계</t>
    <phoneticPr fontId="6" type="noConversion"/>
  </si>
  <si>
    <t>x</t>
    <phoneticPr fontId="6" type="noConversion"/>
  </si>
  <si>
    <t>무기</t>
    <phoneticPr fontId="6" type="noConversion"/>
  </si>
  <si>
    <t>보조</t>
    <phoneticPr fontId="6" type="noConversion"/>
  </si>
  <si>
    <t>데미지</t>
    <phoneticPr fontId="6" type="noConversion"/>
  </si>
  <si>
    <t>주무기</t>
    <phoneticPr fontId="6" type="noConversion"/>
  </si>
  <si>
    <t>보조무기</t>
    <phoneticPr fontId="6" type="noConversion"/>
  </si>
  <si>
    <t>파티원</t>
    <phoneticPr fontId="6" type="noConversion"/>
  </si>
  <si>
    <t>상태이상,피격</t>
    <phoneticPr fontId="6" type="noConversion"/>
  </si>
  <si>
    <t>증가</t>
    <phoneticPr fontId="6" type="noConversion"/>
  </si>
  <si>
    <t>감소</t>
    <phoneticPr fontId="6" type="noConversion"/>
  </si>
  <si>
    <t>외부</t>
    <phoneticPr fontId="6" type="noConversion"/>
  </si>
  <si>
    <t>스킬</t>
    <phoneticPr fontId="6" type="noConversion"/>
  </si>
  <si>
    <t>스킬 이름</t>
    <phoneticPr fontId="6" type="noConversion"/>
  </si>
  <si>
    <t>내용</t>
    <phoneticPr fontId="6" type="noConversion"/>
  </si>
  <si>
    <t>리아</t>
    <phoneticPr fontId="6" type="noConversion"/>
  </si>
  <si>
    <t>징 박힌 가죽 갑옷</t>
  </si>
  <si>
    <t>데미지(보조무기)</t>
    <phoneticPr fontId="6" type="noConversion"/>
  </si>
  <si>
    <t>계산기</t>
    <phoneticPr fontId="6" type="noConversion"/>
  </si>
  <si>
    <t>방어력</t>
    <phoneticPr fontId="6" type="noConversion"/>
  </si>
  <si>
    <t xml:space="preserve">날이 잘 선 손도끼 </t>
    <phoneticPr fontId="6" type="noConversion"/>
  </si>
  <si>
    <t>탐험가의 망토</t>
  </si>
  <si>
    <t>신속의 반지</t>
  </si>
  <si>
    <t xml:space="preserve">가죽 장갑 </t>
  </si>
  <si>
    <t>추가</t>
    <phoneticPr fontId="6" type="noConversion"/>
  </si>
  <si>
    <t>플레이어</t>
    <phoneticPr fontId="6" type="noConversion"/>
  </si>
  <si>
    <t>적</t>
    <phoneticPr fontId="6" type="noConversion"/>
  </si>
  <si>
    <t>적군</t>
    <phoneticPr fontId="6" type="noConversion"/>
  </si>
  <si>
    <t>팬티 스타킹</t>
    <phoneticPr fontId="6" type="noConversion"/>
  </si>
  <si>
    <t>총사</t>
  </si>
  <si>
    <t>힘 50% 값만큼 피해, 힘 값 2배 차이경우 넉백</t>
    <phoneticPr fontId="6" type="noConversion"/>
  </si>
  <si>
    <t xml:space="preserve"> 힘다이스 없이 탄알효과만 발동</t>
    <phoneticPr fontId="6" type="noConversion"/>
  </si>
  <si>
    <t>후퇴 판정 전투 종료 후 일부분 보상 획득</t>
    <phoneticPr fontId="6" type="noConversion"/>
  </si>
  <si>
    <t>소매치기</t>
    <phoneticPr fontId="6" type="noConversion"/>
  </si>
  <si>
    <t>개머리판 공격 1t</t>
    <phoneticPr fontId="6" type="noConversion"/>
  </si>
  <si>
    <t xml:space="preserve">원숭이 </t>
  </si>
  <si>
    <t>나무 시도 시 한턴만 턴 소모 없음</t>
    <phoneticPr fontId="6" type="noConversion"/>
  </si>
  <si>
    <t>지형 활용 (1회 판정)</t>
    <phoneticPr fontId="6" type="noConversion"/>
  </si>
  <si>
    <t>주변 환경(장애물/나무/암석 등) 활용 시 회피 판정 +2</t>
    <phoneticPr fontId="6" type="noConversion"/>
  </si>
  <si>
    <t>방해 사격</t>
    <phoneticPr fontId="6" type="noConversion"/>
  </si>
  <si>
    <t>더블탭</t>
    <phoneticPr fontId="6" type="noConversion"/>
  </si>
  <si>
    <t xml:space="preserve">적 1체의 다음 행동에 -2 (사격 명중 시) </t>
    <phoneticPr fontId="6" type="noConversion"/>
  </si>
  <si>
    <t>두번 공격 (스킬 개별 각각 사용가능) 명중률 -2</t>
    <phoneticPr fontId="6" type="noConversion"/>
  </si>
  <si>
    <t>마법 소모</t>
    <phoneticPr fontId="6" type="noConversion"/>
  </si>
  <si>
    <t>개량형 강선 머스킷(정+1/원거리시 추가+1)</t>
    <phoneticPr fontId="6" type="noConversion"/>
  </si>
  <si>
    <t>sp 소모</t>
    <phoneticPr fontId="6" type="noConversion"/>
  </si>
  <si>
    <t>최대 
내구도</t>
    <phoneticPr fontId="6" type="noConversion"/>
  </si>
  <si>
    <t>현재 
내구도</t>
    <phoneticPr fontId="6" type="noConversion"/>
  </si>
  <si>
    <t>데미지
(보조)</t>
    <phoneticPr fontId="6" type="noConversion"/>
  </si>
  <si>
    <t>결과</t>
    <phoneticPr fontId="6" type="noConversion"/>
  </si>
  <si>
    <t>루나</t>
    <phoneticPr fontId="6" type="noConversion"/>
  </si>
  <si>
    <t>로브</t>
    <phoneticPr fontId="6" type="noConversion"/>
  </si>
  <si>
    <t>완드</t>
    <phoneticPr fontId="6" type="noConversion"/>
  </si>
  <si>
    <t>마나볼</t>
    <phoneticPr fontId="6" type="noConversion"/>
  </si>
  <si>
    <t xml:space="preserve">지능 결과값 +4 </t>
    <phoneticPr fontId="6" type="noConversion"/>
  </si>
  <si>
    <t>민첩 다이스 1</t>
    <phoneticPr fontId="6" type="noConversion"/>
  </si>
  <si>
    <t>올라타기</t>
    <phoneticPr fontId="6" type="noConversion"/>
  </si>
  <si>
    <t>매혹된 도박꾼</t>
    <phoneticPr fontId="6" type="noConversion"/>
  </si>
  <si>
    <t>변화</t>
    <phoneticPr fontId="6" type="noConversion"/>
  </si>
  <si>
    <t>매혹된 도박꾼</t>
    <phoneticPr fontId="6" type="noConversion"/>
  </si>
  <si>
    <t>마법 가능횟수</t>
    <phoneticPr fontId="6" type="noConversion"/>
  </si>
  <si>
    <t>상태이상</t>
    <phoneticPr fontId="6" type="noConversion"/>
  </si>
  <si>
    <t>쾌락</t>
    <phoneticPr fontId="6" type="noConversion"/>
  </si>
  <si>
    <t>세실리아</t>
    <phoneticPr fontId="6" type="noConversion"/>
  </si>
  <si>
    <t>오염된 늑대</t>
    <phoneticPr fontId="6" type="noConversion"/>
  </si>
  <si>
    <t>건강</t>
  </si>
  <si>
    <t>서툰 속사술</t>
  </si>
  <si>
    <t>장전 시간 1턴 → 0턴. 사격 후 즉시   재장전 가능.</t>
    <phoneticPr fontId="6" type="noConversion"/>
  </si>
  <si>
    <t>강화된 가죽 부츠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</si>
</sst>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_);[Red]\(0\)"/>
  </numFmts>
  <fonts count="1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sz val="11"/>
      <color rgb="FF006100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20"/>
      <color theme="1"/>
      <name val="맑은 고딕"/>
      <family val="2"/>
      <charset val="129"/>
      <scheme val="minor"/>
    </font>
    <font>
      <sz val="2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theme="3"/>
      <name val="맑은 고딕"/>
      <family val="2"/>
      <charset val="129"/>
      <scheme val="major"/>
    </font>
    <font>
      <b/>
      <sz val="10"/>
      <color theme="3"/>
      <name val="맑은 고딕"/>
      <family val="3"/>
      <charset val="129"/>
      <scheme val="major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rgb="FFFFC7CE"/>
      </patternFill>
    </fill>
  </fills>
  <borders count="3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1" applyNumberFormat="0" applyAlignment="0" applyProtection="0">
      <alignment vertical="center"/>
    </xf>
    <xf numFmtId="0" fontId="5" fillId="4" borderId="2" applyNumberFormat="0" applyAlignment="0" applyProtection="0">
      <alignment vertical="center"/>
    </xf>
    <xf numFmtId="0" fontId="1" fillId="5" borderId="3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4" xfId="0" applyBorder="1">
      <alignment vertical="center"/>
    </xf>
    <xf numFmtId="0" fontId="0" fillId="0" borderId="8" xfId="0" applyBorder="1">
      <alignment vertical="center"/>
    </xf>
    <xf numFmtId="0" fontId="0" fillId="0" borderId="8" xfId="0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5" xfId="0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right" vertical="center"/>
    </xf>
    <xf numFmtId="0" fontId="0" fillId="0" borderId="19" xfId="0" applyBorder="1">
      <alignment vertical="center"/>
    </xf>
    <xf numFmtId="0" fontId="0" fillId="0" borderId="11" xfId="0" applyBorder="1">
      <alignment vertical="center"/>
    </xf>
    <xf numFmtId="0" fontId="0" fillId="5" borderId="12" xfId="5" applyFont="1" applyBorder="1" applyAlignment="1">
      <alignment horizontal="center" vertical="center"/>
    </xf>
    <xf numFmtId="0" fontId="0" fillId="5" borderId="13" xfId="5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5" fillId="4" borderId="2" xfId="4" applyAlignment="1">
      <alignment horizontal="center" vertical="center"/>
    </xf>
    <xf numFmtId="0" fontId="1" fillId="7" borderId="1" xfId="7" applyBorder="1" applyAlignment="1">
      <alignment horizontal="center" vertical="center"/>
    </xf>
    <xf numFmtId="0" fontId="1" fillId="7" borderId="22" xfId="7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9" fillId="0" borderId="20" xfId="0" applyFont="1" applyBorder="1" applyAlignment="1">
      <alignment horizontal="right" vertical="center"/>
    </xf>
    <xf numFmtId="0" fontId="9" fillId="0" borderId="8" xfId="0" applyFont="1" applyBorder="1" applyAlignment="1">
      <alignment horizontal="right" vertical="center"/>
    </xf>
    <xf numFmtId="0" fontId="4" fillId="3" borderId="1" xfId="3" applyAlignment="1">
      <alignment horizontal="right" vertical="center"/>
    </xf>
    <xf numFmtId="0" fontId="10" fillId="0" borderId="0" xfId="0" applyFont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11" fillId="0" borderId="23" xfId="0" applyFont="1" applyFill="1" applyBorder="1" applyAlignment="1">
      <alignment horizontal="center" vertical="center"/>
    </xf>
    <xf numFmtId="0" fontId="11" fillId="0" borderId="8" xfId="0" applyFont="1" applyFill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0" fillId="0" borderId="25" xfId="0" applyBorder="1">
      <alignment vertical="center"/>
    </xf>
    <xf numFmtId="0" fontId="0" fillId="0" borderId="27" xfId="0" applyBorder="1" applyAlignment="1">
      <alignment horizontal="right" vertical="center"/>
    </xf>
    <xf numFmtId="0" fontId="0" fillId="0" borderId="28" xfId="0" applyBorder="1">
      <alignment vertical="center"/>
    </xf>
    <xf numFmtId="0" fontId="0" fillId="0" borderId="29" xfId="0" applyBorder="1" applyAlignment="1">
      <alignment horizontal="center" vertical="center"/>
    </xf>
    <xf numFmtId="0" fontId="3" fillId="2" borderId="30" xfId="2" applyBorder="1" applyAlignment="1">
      <alignment horizontal="center" vertical="center"/>
    </xf>
    <xf numFmtId="176" fontId="0" fillId="0" borderId="8" xfId="0" applyNumberFormat="1" applyBorder="1" applyAlignment="1">
      <alignment horizontal="center" vertical="center"/>
    </xf>
    <xf numFmtId="0" fontId="1" fillId="7" borderId="8" xfId="7" applyBorder="1" applyAlignment="1">
      <alignment horizontal="center" vertical="center"/>
    </xf>
    <xf numFmtId="0" fontId="1" fillId="6" borderId="8" xfId="6" applyBorder="1" applyAlignment="1">
      <alignment horizontal="center" vertical="center"/>
    </xf>
    <xf numFmtId="176" fontId="0" fillId="0" borderId="11" xfId="0" applyNumberFormat="1" applyBorder="1" applyAlignment="1">
      <alignment horizontal="center" vertical="center"/>
    </xf>
    <xf numFmtId="0" fontId="0" fillId="5" borderId="13" xfId="5" applyFont="1" applyBorder="1" applyAlignment="1">
      <alignment horizontal="center" vertical="center" wrapText="1"/>
    </xf>
    <xf numFmtId="0" fontId="0" fillId="5" borderId="14" xfId="5" applyFont="1" applyBorder="1" applyAlignment="1">
      <alignment horizontal="center" vertical="center" wrapText="1"/>
    </xf>
    <xf numFmtId="0" fontId="0" fillId="0" borderId="24" xfId="0" applyBorder="1" applyAlignment="1">
      <alignment vertical="center"/>
    </xf>
    <xf numFmtId="0" fontId="0" fillId="0" borderId="26" xfId="0" applyFill="1" applyBorder="1" applyAlignment="1">
      <alignment vertical="center"/>
    </xf>
    <xf numFmtId="0" fontId="1" fillId="6" borderId="8" xfId="6" applyBorder="1" applyAlignment="1">
      <alignment horizontal="left" vertical="center"/>
    </xf>
    <xf numFmtId="0" fontId="0" fillId="0" borderId="24" xfId="0" applyBorder="1" applyAlignment="1">
      <alignment horizontal="left" vertical="center"/>
    </xf>
    <xf numFmtId="0" fontId="0" fillId="0" borderId="26" xfId="0" applyFill="1" applyBorder="1" applyAlignment="1">
      <alignment horizontal="left" vertical="center"/>
    </xf>
    <xf numFmtId="0" fontId="3" fillId="2" borderId="17" xfId="2" applyBorder="1" applyAlignment="1">
      <alignment horizontal="center" vertical="center"/>
    </xf>
    <xf numFmtId="0" fontId="1" fillId="6" borderId="11" xfId="6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6" borderId="8" xfId="6" applyFont="1" applyBorder="1" applyAlignment="1">
      <alignment horizontal="left" vertical="center"/>
    </xf>
    <xf numFmtId="0" fontId="0" fillId="7" borderId="8" xfId="7" applyFont="1" applyBorder="1" applyAlignment="1">
      <alignment horizontal="center" vertical="center"/>
    </xf>
    <xf numFmtId="0" fontId="0" fillId="0" borderId="32" xfId="0" applyBorder="1" applyAlignment="1">
      <alignment horizontal="left" vertical="center"/>
    </xf>
    <xf numFmtId="0" fontId="0" fillId="0" borderId="20" xfId="0" applyBorder="1">
      <alignment vertical="center"/>
    </xf>
    <xf numFmtId="0" fontId="0" fillId="0" borderId="33" xfId="0" applyBorder="1">
      <alignment vertical="center"/>
    </xf>
    <xf numFmtId="0" fontId="0" fillId="0" borderId="27" xfId="0" applyBorder="1">
      <alignment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12" fillId="8" borderId="35" xfId="8" applyBorder="1" applyAlignment="1">
      <alignment horizontal="center" vertical="center"/>
    </xf>
    <xf numFmtId="0" fontId="3" fillId="2" borderId="36" xfId="2" applyBorder="1" applyAlignment="1">
      <alignment horizontal="center" vertical="center"/>
    </xf>
    <xf numFmtId="0" fontId="14" fillId="0" borderId="4" xfId="1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3" fillId="0" borderId="5" xfId="1" applyFont="1" applyBorder="1" applyAlignment="1">
      <alignment horizontal="center" vertical="center"/>
    </xf>
    <xf numFmtId="0" fontId="13" fillId="0" borderId="6" xfId="1" applyFont="1" applyBorder="1" applyAlignment="1">
      <alignment horizontal="center" vertical="center"/>
    </xf>
    <xf numFmtId="0" fontId="13" fillId="0" borderId="7" xfId="1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6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</cellXfs>
  <cellStyles count="9">
    <cellStyle name="20% - 강조색1" xfId="6" builtinId="30"/>
    <cellStyle name="20% - 강조색6" xfId="7" builtinId="50"/>
    <cellStyle name="계산" xfId="3" builtinId="22"/>
    <cellStyle name="나쁨" xfId="8" builtinId="27"/>
    <cellStyle name="메모" xfId="5" builtinId="10"/>
    <cellStyle name="셀 확인" xfId="4" builtinId="23"/>
    <cellStyle name="제목" xfId="1" builtinId="15"/>
    <cellStyle name="좋음" xfId="2" builtinId="2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A65"/>
  <sheetViews>
    <sheetView zoomScale="70" zoomScaleNormal="70" workbookViewId="0">
      <selection activeCell="R15" sqref="R15"/>
    </sheetView>
  </sheetViews>
  <sheetFormatPr defaultRowHeight="17.5" x14ac:dyDescent="0.45"/>
  <cols>
    <col min="1" max="1" width="2.75" customWidth="1"/>
    <col min="2" max="2" width="41.6640625" style="1" customWidth="1"/>
    <col min="3" max="15" width="8.58203125" customWidth="1"/>
    <col min="16" max="16" width="16.25" customWidth="1"/>
    <col min="17" max="17" width="20.58203125" customWidth="1"/>
    <col min="18" max="19" width="8.58203125" customWidth="1"/>
    <col min="20" max="20" width="12.58203125" customWidth="1"/>
    <col min="22" max="22" width="12.58203125" style="28" customWidth="1"/>
    <col min="23" max="26" width="8.58203125" style="28" customWidth="1"/>
  </cols>
  <sheetData>
    <row r="1" spans="2:27" ht="18" thickBot="1" x14ac:dyDescent="0.5"/>
    <row r="2" spans="2:27" ht="30.5" thickBot="1" x14ac:dyDescent="0.5">
      <c r="B2" s="19" t="s">
        <v>0</v>
      </c>
      <c r="C2" s="64" t="s">
        <v>38</v>
      </c>
      <c r="D2" s="74" t="s">
        <v>4</v>
      </c>
      <c r="E2" s="65"/>
      <c r="F2" s="65"/>
      <c r="G2" s="65"/>
      <c r="H2" s="65"/>
      <c r="I2" s="66"/>
      <c r="J2" s="74" t="s">
        <v>18</v>
      </c>
      <c r="K2" s="65"/>
      <c r="L2" s="65"/>
      <c r="M2" s="66"/>
      <c r="N2" s="74" t="s">
        <v>25</v>
      </c>
      <c r="O2" s="66"/>
      <c r="P2" s="17" t="s">
        <v>34</v>
      </c>
      <c r="Q2" s="72" t="s">
        <v>1</v>
      </c>
      <c r="R2" s="2"/>
      <c r="S2" s="65" t="s">
        <v>31</v>
      </c>
      <c r="T2" s="65"/>
      <c r="U2" s="66"/>
      <c r="X2" s="67" t="s">
        <v>41</v>
      </c>
      <c r="Y2" s="67"/>
      <c r="Z2" s="67"/>
      <c r="AA2" s="67"/>
    </row>
    <row r="3" spans="2:27" ht="30.5" thickBot="1" x14ac:dyDescent="0.5">
      <c r="B3" s="20" t="s">
        <v>1</v>
      </c>
      <c r="C3" s="8" t="s">
        <v>5</v>
      </c>
      <c r="D3" s="24" t="s">
        <v>7</v>
      </c>
      <c r="E3" s="24" t="s">
        <v>16</v>
      </c>
      <c r="F3" s="24" t="s">
        <v>8</v>
      </c>
      <c r="G3" s="24" t="s">
        <v>9</v>
      </c>
      <c r="H3" s="24" t="s">
        <v>10</v>
      </c>
      <c r="I3" s="24" t="s">
        <v>17</v>
      </c>
      <c r="J3" s="5" t="s">
        <v>19</v>
      </c>
      <c r="K3" s="5" t="s">
        <v>20</v>
      </c>
      <c r="L3" s="5" t="s">
        <v>21</v>
      </c>
      <c r="M3" s="5" t="s">
        <v>22</v>
      </c>
      <c r="N3" s="5" t="s">
        <v>25</v>
      </c>
      <c r="O3" s="5" t="s">
        <v>26</v>
      </c>
      <c r="P3" s="7" t="s">
        <v>35</v>
      </c>
      <c r="Q3" s="73"/>
      <c r="R3" s="50" t="s">
        <v>23</v>
      </c>
      <c r="S3" s="15" t="s">
        <v>32</v>
      </c>
      <c r="T3" s="15" t="s">
        <v>33</v>
      </c>
      <c r="U3" s="16" t="s">
        <v>72</v>
      </c>
      <c r="X3" s="30" t="s">
        <v>27</v>
      </c>
      <c r="Y3" s="30" t="s">
        <v>47</v>
      </c>
      <c r="Z3" s="30" t="s">
        <v>42</v>
      </c>
      <c r="AA3" s="31" t="s">
        <v>23</v>
      </c>
    </row>
    <row r="4" spans="2:27" ht="18.5" thickTop="1" thickBot="1" x14ac:dyDescent="0.5">
      <c r="B4" s="41" t="s">
        <v>2</v>
      </c>
      <c r="C4" s="3">
        <v>30</v>
      </c>
      <c r="D4" s="68"/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  <c r="P4" s="21" t="s">
        <v>83</v>
      </c>
      <c r="Q4" s="51" t="s">
        <v>2</v>
      </c>
      <c r="R4" s="27">
        <f>SUM($C$7:$M$7)*5</f>
        <v>30</v>
      </c>
      <c r="S4" s="25"/>
      <c r="T4" s="25"/>
      <c r="U4" s="27">
        <f t="shared" ref="U4:U5" si="0">R4+S4-T4</f>
        <v>30</v>
      </c>
      <c r="W4" s="32" t="s">
        <v>48</v>
      </c>
      <c r="X4" s="33"/>
      <c r="Y4" s="33">
        <f>U15</f>
        <v>5</v>
      </c>
      <c r="Z4" s="33"/>
      <c r="AA4" s="33"/>
    </row>
    <row r="5" spans="2:27" ht="18.5" thickTop="1" thickBot="1" x14ac:dyDescent="0.5">
      <c r="B5" s="41" t="s">
        <v>6</v>
      </c>
      <c r="C5" s="3">
        <v>30</v>
      </c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21">
        <f>INT(3+(R10/5))</f>
        <v>4</v>
      </c>
      <c r="Q5" s="41" t="s">
        <v>6</v>
      </c>
      <c r="R5" s="27">
        <f>SUM($C$7:$M$7)*5</f>
        <v>30</v>
      </c>
      <c r="S5" s="26"/>
      <c r="T5" s="26"/>
      <c r="U5" s="27">
        <f t="shared" si="0"/>
        <v>30</v>
      </c>
      <c r="W5" s="33" t="s">
        <v>49</v>
      </c>
      <c r="X5" s="33"/>
      <c r="Y5" s="33"/>
      <c r="Z5" s="33">
        <f>U15</f>
        <v>5</v>
      </c>
      <c r="AA5" s="33"/>
    </row>
    <row r="6" spans="2:27" ht="18" thickTop="1" x14ac:dyDescent="0.45">
      <c r="B6" s="41" t="s">
        <v>3</v>
      </c>
      <c r="C6" s="3">
        <v>6</v>
      </c>
      <c r="D6" s="12">
        <f t="shared" ref="D6:O6" si="1">INDEX($D:$D, COLUMN(A1)+17)</f>
        <v>0</v>
      </c>
      <c r="E6" s="12">
        <f t="shared" si="1"/>
        <v>0</v>
      </c>
      <c r="F6" s="12">
        <f t="shared" si="1"/>
        <v>0</v>
      </c>
      <c r="G6" s="12">
        <f t="shared" si="1"/>
        <v>0</v>
      </c>
      <c r="H6" s="12">
        <f t="shared" si="1"/>
        <v>0</v>
      </c>
      <c r="I6" s="12">
        <f t="shared" si="1"/>
        <v>0</v>
      </c>
      <c r="J6" s="12">
        <f t="shared" si="1"/>
        <v>0</v>
      </c>
      <c r="K6" s="12">
        <f t="shared" si="1"/>
        <v>0</v>
      </c>
      <c r="L6" s="12">
        <f t="shared" si="1"/>
        <v>0</v>
      </c>
      <c r="M6" s="12">
        <f t="shared" si="1"/>
        <v>0</v>
      </c>
      <c r="N6" s="12">
        <f t="shared" si="1"/>
        <v>0</v>
      </c>
      <c r="O6" s="12">
        <f t="shared" si="1"/>
        <v>0</v>
      </c>
      <c r="P6" s="3"/>
      <c r="Q6" s="41" t="s">
        <v>3</v>
      </c>
      <c r="R6" s="27">
        <f t="shared" ref="R6:R15" si="2">SUM(C6:P6)</f>
        <v>6</v>
      </c>
      <c r="S6" s="26"/>
      <c r="T6" s="26"/>
      <c r="U6" s="27">
        <f>R6+S6-T6</f>
        <v>6</v>
      </c>
    </row>
    <row r="7" spans="2:27" x14ac:dyDescent="0.45">
      <c r="B7" s="41" t="s">
        <v>88</v>
      </c>
      <c r="C7" s="3">
        <v>6</v>
      </c>
      <c r="D7" s="3">
        <f>INDEX($E:$E, COLUMN(A1)+17)</f>
        <v>0</v>
      </c>
      <c r="E7" s="3">
        <f t="shared" ref="E7:O7" si="3">INDEX($E:$E, COLUMN(B1)+17)</f>
        <v>0</v>
      </c>
      <c r="F7" s="3">
        <f t="shared" si="3"/>
        <v>0</v>
      </c>
      <c r="G7" s="3">
        <f t="shared" si="3"/>
        <v>0</v>
      </c>
      <c r="H7" s="3">
        <f t="shared" si="3"/>
        <v>0</v>
      </c>
      <c r="I7" s="3">
        <f t="shared" si="3"/>
        <v>0</v>
      </c>
      <c r="J7" s="3">
        <f t="shared" si="3"/>
        <v>0</v>
      </c>
      <c r="K7" s="3">
        <f t="shared" si="3"/>
        <v>0</v>
      </c>
      <c r="L7" s="3">
        <f t="shared" si="3"/>
        <v>0</v>
      </c>
      <c r="M7" s="3">
        <f t="shared" si="3"/>
        <v>0</v>
      </c>
      <c r="N7" s="3">
        <f t="shared" si="3"/>
        <v>0</v>
      </c>
      <c r="O7" s="3">
        <f t="shared" si="3"/>
        <v>0</v>
      </c>
      <c r="P7" s="3"/>
      <c r="Q7" s="41" t="s">
        <v>88</v>
      </c>
      <c r="R7" s="27">
        <f t="shared" si="2"/>
        <v>6</v>
      </c>
      <c r="S7" s="26"/>
      <c r="T7" s="26"/>
      <c r="U7" s="27">
        <f t="shared" ref="U7:U15" si="4">R7+S7-T7</f>
        <v>6</v>
      </c>
    </row>
    <row r="8" spans="2:27" x14ac:dyDescent="0.45">
      <c r="B8" s="41" t="s">
        <v>11</v>
      </c>
      <c r="C8" s="3">
        <v>8</v>
      </c>
      <c r="D8" s="3">
        <f>INDEX($F:$F, COLUMN(A1)+17)</f>
        <v>0</v>
      </c>
      <c r="E8" s="3">
        <f t="shared" ref="E8:O8" si="5">INDEX($F:$F, COLUMN(B1)+17)</f>
        <v>1</v>
      </c>
      <c r="F8" s="3">
        <f t="shared" si="5"/>
        <v>-1</v>
      </c>
      <c r="G8" s="3">
        <f t="shared" si="5"/>
        <v>0</v>
      </c>
      <c r="H8" s="3">
        <f t="shared" si="5"/>
        <v>1</v>
      </c>
      <c r="I8" s="3">
        <f t="shared" si="5"/>
        <v>0</v>
      </c>
      <c r="J8" s="3">
        <f t="shared" si="5"/>
        <v>2</v>
      </c>
      <c r="K8" s="3">
        <f t="shared" si="5"/>
        <v>0</v>
      </c>
      <c r="L8" s="3">
        <f t="shared" si="5"/>
        <v>0</v>
      </c>
      <c r="M8" s="3">
        <f t="shared" si="5"/>
        <v>0</v>
      </c>
      <c r="N8" s="3">
        <f t="shared" si="5"/>
        <v>0</v>
      </c>
      <c r="O8" s="3">
        <f t="shared" si="5"/>
        <v>0</v>
      </c>
      <c r="P8" s="3"/>
      <c r="Q8" s="41" t="s">
        <v>11</v>
      </c>
      <c r="R8" s="27">
        <f t="shared" si="2"/>
        <v>11</v>
      </c>
      <c r="S8" s="26"/>
      <c r="T8" s="26"/>
      <c r="U8" s="27">
        <f t="shared" si="4"/>
        <v>11</v>
      </c>
    </row>
    <row r="9" spans="2:27" x14ac:dyDescent="0.45">
      <c r="B9" s="41" t="s">
        <v>12</v>
      </c>
      <c r="C9" s="3">
        <v>7</v>
      </c>
      <c r="D9" s="3">
        <f t="shared" ref="D9:O9" si="6">INDEX($G:$G, COLUMN(A1)+17)</f>
        <v>0</v>
      </c>
      <c r="E9" s="3">
        <f t="shared" si="6"/>
        <v>0</v>
      </c>
      <c r="F9" s="3">
        <f t="shared" si="6"/>
        <v>0</v>
      </c>
      <c r="G9" s="3">
        <f t="shared" si="6"/>
        <v>0</v>
      </c>
      <c r="H9" s="3">
        <f t="shared" si="6"/>
        <v>0</v>
      </c>
      <c r="I9" s="3">
        <f t="shared" si="6"/>
        <v>1</v>
      </c>
      <c r="J9" s="3">
        <f t="shared" si="6"/>
        <v>0</v>
      </c>
      <c r="K9" s="3">
        <f t="shared" si="6"/>
        <v>0</v>
      </c>
      <c r="L9" s="3">
        <f t="shared" si="6"/>
        <v>0</v>
      </c>
      <c r="M9" s="3">
        <f t="shared" si="6"/>
        <v>0</v>
      </c>
      <c r="N9" s="3">
        <f t="shared" si="6"/>
        <v>0</v>
      </c>
      <c r="O9" s="3">
        <f t="shared" si="6"/>
        <v>0</v>
      </c>
      <c r="P9" s="3"/>
      <c r="Q9" s="41" t="s">
        <v>12</v>
      </c>
      <c r="R9" s="27">
        <f t="shared" si="2"/>
        <v>8</v>
      </c>
      <c r="S9" s="26"/>
      <c r="T9" s="26"/>
      <c r="U9" s="27">
        <f t="shared" si="4"/>
        <v>8</v>
      </c>
    </row>
    <row r="10" spans="2:27" x14ac:dyDescent="0.45">
      <c r="B10" s="41" t="s">
        <v>13</v>
      </c>
      <c r="C10" s="3">
        <v>6</v>
      </c>
      <c r="D10" s="3">
        <f t="shared" ref="D10:O10" si="7">INDEX($H:$H, COLUMN(A$1)+17)</f>
        <v>0</v>
      </c>
      <c r="E10" s="3">
        <f t="shared" si="7"/>
        <v>0</v>
      </c>
      <c r="F10" s="3">
        <f t="shared" si="7"/>
        <v>0</v>
      </c>
      <c r="G10" s="3">
        <f t="shared" si="7"/>
        <v>0</v>
      </c>
      <c r="H10" s="3">
        <f t="shared" si="7"/>
        <v>0</v>
      </c>
      <c r="I10" s="3">
        <f t="shared" si="7"/>
        <v>0</v>
      </c>
      <c r="J10" s="3">
        <f t="shared" si="7"/>
        <v>0</v>
      </c>
      <c r="K10" s="3">
        <f t="shared" si="7"/>
        <v>0</v>
      </c>
      <c r="L10" s="3">
        <f t="shared" si="7"/>
        <v>0</v>
      </c>
      <c r="M10" s="3">
        <f t="shared" si="7"/>
        <v>0</v>
      </c>
      <c r="N10" s="3">
        <f t="shared" si="7"/>
        <v>0</v>
      </c>
      <c r="O10" s="3">
        <f t="shared" si="7"/>
        <v>0</v>
      </c>
      <c r="P10" s="3"/>
      <c r="Q10" s="41" t="s">
        <v>13</v>
      </c>
      <c r="R10" s="27">
        <f t="shared" si="2"/>
        <v>6</v>
      </c>
      <c r="S10" s="26"/>
      <c r="T10" s="26"/>
      <c r="U10" s="27">
        <f t="shared" si="4"/>
        <v>6</v>
      </c>
    </row>
    <row r="11" spans="2:27" x14ac:dyDescent="0.45">
      <c r="B11" s="41" t="s">
        <v>14</v>
      </c>
      <c r="C11" s="3">
        <v>6</v>
      </c>
      <c r="D11" s="3">
        <f t="shared" ref="D11:O11" si="8">INDEX($I:$I, COLUMN(A$1)+17)</f>
        <v>0</v>
      </c>
      <c r="E11" s="3">
        <f t="shared" si="8"/>
        <v>0</v>
      </c>
      <c r="F11" s="3">
        <f t="shared" si="8"/>
        <v>0</v>
      </c>
      <c r="G11" s="3">
        <f t="shared" si="8"/>
        <v>0</v>
      </c>
      <c r="H11" s="3">
        <f t="shared" si="8"/>
        <v>0</v>
      </c>
      <c r="I11" s="3">
        <f t="shared" si="8"/>
        <v>0</v>
      </c>
      <c r="J11" s="3">
        <f t="shared" si="8"/>
        <v>0</v>
      </c>
      <c r="K11" s="3">
        <f t="shared" si="8"/>
        <v>0</v>
      </c>
      <c r="L11" s="3">
        <f t="shared" si="8"/>
        <v>0</v>
      </c>
      <c r="M11" s="3">
        <f t="shared" si="8"/>
        <v>0</v>
      </c>
      <c r="N11" s="3">
        <f t="shared" si="8"/>
        <v>0</v>
      </c>
      <c r="O11" s="3">
        <f t="shared" si="8"/>
        <v>0</v>
      </c>
      <c r="P11" s="3"/>
      <c r="Q11" s="41" t="s">
        <v>14</v>
      </c>
      <c r="R11" s="27">
        <f t="shared" si="2"/>
        <v>6</v>
      </c>
      <c r="S11" s="26"/>
      <c r="T11" s="26"/>
      <c r="U11" s="27">
        <f t="shared" si="4"/>
        <v>6</v>
      </c>
    </row>
    <row r="12" spans="2:27" x14ac:dyDescent="0.45">
      <c r="B12" s="41" t="s">
        <v>15</v>
      </c>
      <c r="C12" s="3">
        <v>6</v>
      </c>
      <c r="D12" s="3">
        <f t="shared" ref="D12:O12" si="9">INDEX($J:$J, COLUMN(A$1)+17)</f>
        <v>0</v>
      </c>
      <c r="E12" s="3">
        <f t="shared" si="9"/>
        <v>0</v>
      </c>
      <c r="F12" s="3">
        <f t="shared" si="9"/>
        <v>0</v>
      </c>
      <c r="G12" s="3">
        <f t="shared" si="9"/>
        <v>0</v>
      </c>
      <c r="H12" s="3">
        <f t="shared" si="9"/>
        <v>0</v>
      </c>
      <c r="I12" s="3">
        <f t="shared" si="9"/>
        <v>0</v>
      </c>
      <c r="J12" s="3">
        <f t="shared" si="9"/>
        <v>0</v>
      </c>
      <c r="K12" s="3">
        <f t="shared" si="9"/>
        <v>0</v>
      </c>
      <c r="L12" s="3">
        <f t="shared" si="9"/>
        <v>0</v>
      </c>
      <c r="M12" s="3">
        <f t="shared" si="9"/>
        <v>0</v>
      </c>
      <c r="N12" s="3">
        <f t="shared" si="9"/>
        <v>0</v>
      </c>
      <c r="O12" s="3">
        <f t="shared" si="9"/>
        <v>0</v>
      </c>
      <c r="P12" s="3"/>
      <c r="Q12" s="41" t="s">
        <v>15</v>
      </c>
      <c r="R12" s="27">
        <f t="shared" si="2"/>
        <v>6</v>
      </c>
      <c r="S12" s="26"/>
      <c r="T12" s="26"/>
      <c r="U12" s="27">
        <f t="shared" si="4"/>
        <v>6</v>
      </c>
    </row>
    <row r="13" spans="2:27" x14ac:dyDescent="0.45">
      <c r="B13" s="41" t="s">
        <v>27</v>
      </c>
      <c r="C13" s="10" t="s">
        <v>24</v>
      </c>
      <c r="D13" s="3">
        <f t="shared" ref="D13:O13" si="10">INDEX($K:$K, COLUMN(A$1)+17)</f>
        <v>0</v>
      </c>
      <c r="E13" s="3">
        <f t="shared" si="10"/>
        <v>0</v>
      </c>
      <c r="F13" s="3">
        <f t="shared" si="10"/>
        <v>0</v>
      </c>
      <c r="G13" s="3">
        <f t="shared" si="10"/>
        <v>0</v>
      </c>
      <c r="H13" s="3">
        <f t="shared" si="10"/>
        <v>0</v>
      </c>
      <c r="I13" s="3">
        <f t="shared" si="10"/>
        <v>0</v>
      </c>
      <c r="J13" s="3">
        <f t="shared" si="10"/>
        <v>0</v>
      </c>
      <c r="K13" s="3">
        <f t="shared" si="10"/>
        <v>0</v>
      </c>
      <c r="L13" s="3">
        <f t="shared" si="10"/>
        <v>0</v>
      </c>
      <c r="M13" s="3">
        <f t="shared" si="10"/>
        <v>0</v>
      </c>
      <c r="N13" s="3">
        <f t="shared" si="10"/>
        <v>0</v>
      </c>
      <c r="O13" s="3">
        <f t="shared" si="10"/>
        <v>0</v>
      </c>
      <c r="P13" s="3"/>
      <c r="Q13" s="41" t="s">
        <v>27</v>
      </c>
      <c r="R13" s="27">
        <f t="shared" si="2"/>
        <v>0</v>
      </c>
      <c r="S13" s="26"/>
      <c r="T13" s="26"/>
      <c r="U13" s="27">
        <f t="shared" si="4"/>
        <v>0</v>
      </c>
    </row>
    <row r="14" spans="2:27" x14ac:dyDescent="0.45">
      <c r="B14" s="41" t="s">
        <v>40</v>
      </c>
      <c r="C14" s="10" t="s">
        <v>24</v>
      </c>
      <c r="D14" s="3">
        <f t="shared" ref="D14:O14" si="11">INDEX($L:$L, COLUMN(A$1)+17)</f>
        <v>0</v>
      </c>
      <c r="E14" s="3">
        <f t="shared" si="11"/>
        <v>0</v>
      </c>
      <c r="F14" s="3">
        <f t="shared" si="11"/>
        <v>0</v>
      </c>
      <c r="G14" s="3">
        <f t="shared" si="11"/>
        <v>0</v>
      </c>
      <c r="H14" s="3">
        <f t="shared" si="11"/>
        <v>0</v>
      </c>
      <c r="I14" s="3">
        <f t="shared" si="11"/>
        <v>0</v>
      </c>
      <c r="J14" s="3">
        <f t="shared" si="11"/>
        <v>0</v>
      </c>
      <c r="K14" s="3">
        <f t="shared" si="11"/>
        <v>0</v>
      </c>
      <c r="L14" s="3">
        <f t="shared" si="11"/>
        <v>0</v>
      </c>
      <c r="M14" s="3">
        <f t="shared" si="11"/>
        <v>0</v>
      </c>
      <c r="N14" s="3">
        <f t="shared" si="11"/>
        <v>0</v>
      </c>
      <c r="O14" s="3">
        <f t="shared" si="11"/>
        <v>3</v>
      </c>
      <c r="P14" s="3" t="s">
        <v>24</v>
      </c>
      <c r="Q14" s="41" t="s">
        <v>40</v>
      </c>
      <c r="R14" s="27">
        <f t="shared" si="2"/>
        <v>3</v>
      </c>
      <c r="S14" s="26"/>
      <c r="T14" s="26"/>
      <c r="U14" s="27">
        <f t="shared" si="4"/>
        <v>3</v>
      </c>
    </row>
    <row r="15" spans="2:27" x14ac:dyDescent="0.45">
      <c r="B15" s="41" t="s">
        <v>42</v>
      </c>
      <c r="C15" s="3" t="s">
        <v>24</v>
      </c>
      <c r="D15" s="3">
        <f t="shared" ref="D15:O15" si="12">INDEX($M:$M, COLUMN(A$1)+17)</f>
        <v>0</v>
      </c>
      <c r="E15" s="3">
        <f t="shared" si="12"/>
        <v>0</v>
      </c>
      <c r="F15" s="3">
        <f t="shared" si="12"/>
        <v>4</v>
      </c>
      <c r="G15" s="3">
        <f t="shared" si="12"/>
        <v>0</v>
      </c>
      <c r="H15" s="3">
        <f t="shared" si="12"/>
        <v>1</v>
      </c>
      <c r="I15" s="3">
        <f t="shared" si="12"/>
        <v>0</v>
      </c>
      <c r="J15" s="3">
        <f t="shared" si="12"/>
        <v>0</v>
      </c>
      <c r="K15" s="3">
        <f t="shared" si="12"/>
        <v>0</v>
      </c>
      <c r="L15" s="3">
        <f t="shared" si="12"/>
        <v>0</v>
      </c>
      <c r="M15" s="3">
        <f t="shared" si="12"/>
        <v>0</v>
      </c>
      <c r="N15" s="3">
        <f t="shared" si="12"/>
        <v>0</v>
      </c>
      <c r="O15" s="3">
        <f t="shared" si="12"/>
        <v>0</v>
      </c>
      <c r="P15" s="3"/>
      <c r="Q15" s="41" t="s">
        <v>42</v>
      </c>
      <c r="R15" s="27">
        <f t="shared" si="2"/>
        <v>5</v>
      </c>
      <c r="S15" s="26"/>
      <c r="T15" s="26"/>
      <c r="U15" s="27">
        <f t="shared" si="4"/>
        <v>5</v>
      </c>
    </row>
    <row r="16" spans="2:27" ht="18" thickBot="1" x14ac:dyDescent="0.5"/>
    <row r="17" spans="2:26" ht="34.5" thickBot="1" x14ac:dyDescent="0.5">
      <c r="B17" s="18" t="s">
        <v>0</v>
      </c>
      <c r="C17" s="11"/>
      <c r="D17" s="13" t="s">
        <v>3</v>
      </c>
      <c r="E17" s="14" t="s">
        <v>88</v>
      </c>
      <c r="F17" s="14" t="s">
        <v>11</v>
      </c>
      <c r="G17" s="14" t="s">
        <v>12</v>
      </c>
      <c r="H17" s="14" t="s">
        <v>13</v>
      </c>
      <c r="I17" s="14" t="s">
        <v>14</v>
      </c>
      <c r="J17" s="14" t="s">
        <v>15</v>
      </c>
      <c r="K17" s="14" t="s">
        <v>27</v>
      </c>
      <c r="L17" s="43" t="s">
        <v>71</v>
      </c>
      <c r="M17" s="14" t="s">
        <v>42</v>
      </c>
      <c r="N17" s="43" t="s">
        <v>69</v>
      </c>
      <c r="O17" s="44" t="s">
        <v>70</v>
      </c>
      <c r="Q17" s="40" t="s">
        <v>36</v>
      </c>
      <c r="R17" s="75" t="s">
        <v>37</v>
      </c>
      <c r="S17" s="76"/>
      <c r="T17" s="76"/>
      <c r="U17" s="76"/>
      <c r="V17" s="77"/>
      <c r="W17" s="4" t="s">
        <v>66</v>
      </c>
      <c r="X17" s="4" t="s">
        <v>68</v>
      </c>
      <c r="Y17"/>
    </row>
    <row r="18" spans="2:26" ht="17" customHeight="1" x14ac:dyDescent="0.45">
      <c r="B18" s="47"/>
      <c r="C18" s="23" t="s">
        <v>7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42"/>
      <c r="O18" s="42"/>
      <c r="Q18" s="40" t="s">
        <v>52</v>
      </c>
      <c r="R18" s="78" t="s">
        <v>54</v>
      </c>
      <c r="S18" s="79"/>
      <c r="T18" s="79"/>
      <c r="U18" s="79"/>
      <c r="V18" s="80"/>
      <c r="W18" s="4"/>
      <c r="X18" s="4"/>
      <c r="Y18"/>
    </row>
    <row r="19" spans="2:26" ht="17" customHeight="1" x14ac:dyDescent="0.45">
      <c r="B19" s="47" t="s">
        <v>44</v>
      </c>
      <c r="C19" s="22" t="s">
        <v>16</v>
      </c>
      <c r="D19" s="4"/>
      <c r="E19" s="4"/>
      <c r="F19" s="4">
        <v>1</v>
      </c>
      <c r="G19" s="4"/>
      <c r="H19" s="4"/>
      <c r="I19" s="4"/>
      <c r="J19" s="4"/>
      <c r="K19" s="4"/>
      <c r="L19" s="4"/>
      <c r="M19" s="4"/>
      <c r="N19" s="39">
        <v>10</v>
      </c>
      <c r="O19" s="39"/>
      <c r="Q19" s="40" t="s">
        <v>57</v>
      </c>
      <c r="R19" s="78" t="s">
        <v>53</v>
      </c>
      <c r="S19" s="79"/>
      <c r="T19" s="79"/>
      <c r="U19" s="79"/>
      <c r="V19" s="80"/>
      <c r="W19" s="4"/>
      <c r="X19" s="4"/>
      <c r="Y19"/>
    </row>
    <row r="20" spans="2:26" x14ac:dyDescent="0.45">
      <c r="B20" s="47" t="s">
        <v>39</v>
      </c>
      <c r="C20" s="22" t="s">
        <v>8</v>
      </c>
      <c r="D20" s="4"/>
      <c r="E20" s="4"/>
      <c r="F20" s="8">
        <v>-1</v>
      </c>
      <c r="G20" s="8"/>
      <c r="H20" s="8"/>
      <c r="I20" s="8"/>
      <c r="J20" s="8"/>
      <c r="K20" s="8"/>
      <c r="L20" s="8"/>
      <c r="M20" s="8">
        <v>4</v>
      </c>
      <c r="N20" s="39">
        <v>32</v>
      </c>
      <c r="O20" s="39">
        <v>32</v>
      </c>
      <c r="Q20" s="40" t="s">
        <v>56</v>
      </c>
      <c r="R20" s="75" t="s">
        <v>55</v>
      </c>
      <c r="S20" s="76"/>
      <c r="T20" s="76"/>
      <c r="U20" s="76"/>
      <c r="V20" s="77"/>
      <c r="W20" s="4"/>
      <c r="X20" s="4"/>
      <c r="Y20"/>
    </row>
    <row r="21" spans="2:26" ht="17" x14ac:dyDescent="0.45">
      <c r="B21" s="47" t="s">
        <v>51</v>
      </c>
      <c r="C21" s="22" t="s">
        <v>9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39">
        <v>5</v>
      </c>
      <c r="O21" s="39">
        <v>5</v>
      </c>
      <c r="Q21" s="40" t="s">
        <v>58</v>
      </c>
      <c r="R21" s="75" t="s">
        <v>59</v>
      </c>
      <c r="S21" s="76"/>
      <c r="T21" s="76"/>
      <c r="U21" s="76"/>
      <c r="V21" s="77"/>
      <c r="W21" s="4"/>
      <c r="X21" s="4"/>
      <c r="Y21"/>
      <c r="Z21"/>
    </row>
    <row r="22" spans="2:26" ht="17" x14ac:dyDescent="0.45">
      <c r="B22" s="47" t="s">
        <v>91</v>
      </c>
      <c r="C22" s="22" t="s">
        <v>10</v>
      </c>
      <c r="D22" s="4"/>
      <c r="E22" s="4"/>
      <c r="F22" s="4">
        <v>1</v>
      </c>
      <c r="G22" s="4"/>
      <c r="H22" s="4"/>
      <c r="I22" s="4"/>
      <c r="J22" s="4"/>
      <c r="K22" s="4"/>
      <c r="L22" s="4"/>
      <c r="M22" s="4">
        <v>1</v>
      </c>
      <c r="N22" s="39"/>
      <c r="O22" s="39"/>
      <c r="Q22" s="40" t="s">
        <v>60</v>
      </c>
      <c r="R22" s="75" t="s">
        <v>61</v>
      </c>
      <c r="S22" s="76"/>
      <c r="T22" s="76"/>
      <c r="U22" s="76"/>
      <c r="V22" s="77"/>
      <c r="W22" s="4"/>
      <c r="X22" s="4"/>
      <c r="Y22"/>
      <c r="Z22"/>
    </row>
    <row r="23" spans="2:26" ht="17" x14ac:dyDescent="0.45">
      <c r="B23" s="47" t="s">
        <v>46</v>
      </c>
      <c r="C23" s="22" t="s">
        <v>17</v>
      </c>
      <c r="D23" s="4"/>
      <c r="E23" s="4"/>
      <c r="F23" s="4"/>
      <c r="G23" s="4">
        <v>1</v>
      </c>
      <c r="H23" s="4"/>
      <c r="I23" s="4"/>
      <c r="J23" s="4"/>
      <c r="K23" s="4"/>
      <c r="L23" s="4"/>
      <c r="M23" s="4"/>
      <c r="N23" s="39">
        <v>10</v>
      </c>
      <c r="O23" s="39">
        <v>10</v>
      </c>
      <c r="Q23" s="40" t="s">
        <v>62</v>
      </c>
      <c r="R23" s="75" t="s">
        <v>64</v>
      </c>
      <c r="S23" s="76"/>
      <c r="T23" s="76"/>
      <c r="U23" s="76"/>
      <c r="V23" s="77"/>
      <c r="W23" s="4"/>
      <c r="X23" s="4">
        <v>2</v>
      </c>
      <c r="Y23"/>
      <c r="Z23"/>
    </row>
    <row r="24" spans="2:26" ht="17" x14ac:dyDescent="0.45">
      <c r="B24" s="47" t="s">
        <v>45</v>
      </c>
      <c r="C24" s="22" t="s">
        <v>19</v>
      </c>
      <c r="D24" s="4"/>
      <c r="E24" s="4"/>
      <c r="F24" s="4">
        <v>2</v>
      </c>
      <c r="G24" s="4"/>
      <c r="H24" s="4"/>
      <c r="I24" s="4"/>
      <c r="J24" s="4"/>
      <c r="K24" s="4"/>
      <c r="L24" s="4"/>
      <c r="M24" s="4"/>
      <c r="N24" s="39"/>
      <c r="O24" s="39"/>
      <c r="Q24" s="40" t="s">
        <v>63</v>
      </c>
      <c r="R24" s="75" t="s">
        <v>65</v>
      </c>
      <c r="S24" s="76"/>
      <c r="T24" s="76"/>
      <c r="U24" s="76"/>
      <c r="V24" s="77"/>
      <c r="W24" s="4"/>
      <c r="X24" s="4">
        <v>5</v>
      </c>
      <c r="Y24"/>
      <c r="Z24"/>
    </row>
    <row r="25" spans="2:26" ht="17" x14ac:dyDescent="0.45">
      <c r="B25" s="47"/>
      <c r="C25" s="22" t="s">
        <v>20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39"/>
      <c r="O25" s="39"/>
      <c r="Q25" s="40" t="s">
        <v>89</v>
      </c>
      <c r="R25" s="75" t="s">
        <v>90</v>
      </c>
      <c r="S25" s="76"/>
      <c r="T25" s="76"/>
      <c r="U25" s="76"/>
      <c r="V25" s="77"/>
      <c r="W25" s="4"/>
      <c r="X25" s="4">
        <v>5</v>
      </c>
      <c r="Y25"/>
      <c r="Z25"/>
    </row>
    <row r="26" spans="2:26" ht="17" x14ac:dyDescent="0.45">
      <c r="B26" s="47"/>
      <c r="C26" s="22" t="s">
        <v>21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39"/>
      <c r="O26" s="39"/>
      <c r="Q26" s="40"/>
      <c r="R26" s="75"/>
      <c r="S26" s="76"/>
      <c r="T26" s="76"/>
      <c r="U26" s="76"/>
      <c r="V26" s="77"/>
      <c r="W26" s="4"/>
      <c r="X26" s="4"/>
      <c r="Y26"/>
      <c r="Z26"/>
    </row>
    <row r="27" spans="2:26" ht="17" x14ac:dyDescent="0.45">
      <c r="B27" s="47"/>
      <c r="C27" s="22" t="s">
        <v>22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39"/>
      <c r="O27" s="39"/>
      <c r="Q27" s="40"/>
      <c r="R27" s="75"/>
      <c r="S27" s="76"/>
      <c r="T27" s="76"/>
      <c r="U27" s="76"/>
      <c r="V27" s="77"/>
      <c r="W27" s="4"/>
      <c r="X27" s="4"/>
      <c r="Y27"/>
      <c r="Z27"/>
    </row>
    <row r="28" spans="2:26" ht="17" x14ac:dyDescent="0.45">
      <c r="B28" s="47" t="s">
        <v>67</v>
      </c>
      <c r="C28" s="22" t="s">
        <v>28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39">
        <v>40</v>
      </c>
      <c r="O28" s="39">
        <v>40</v>
      </c>
      <c r="Q28" s="40"/>
      <c r="R28" s="75"/>
      <c r="S28" s="76"/>
      <c r="T28" s="76"/>
      <c r="U28" s="76"/>
      <c r="V28" s="77"/>
      <c r="W28" s="4"/>
      <c r="X28" s="4"/>
      <c r="Y28"/>
      <c r="Z28"/>
    </row>
    <row r="29" spans="2:26" x14ac:dyDescent="0.45">
      <c r="B29" s="47" t="s">
        <v>43</v>
      </c>
      <c r="C29" s="22" t="s">
        <v>29</v>
      </c>
      <c r="D29" s="4"/>
      <c r="E29" s="4"/>
      <c r="F29" s="4"/>
      <c r="G29" s="4"/>
      <c r="H29" s="4"/>
      <c r="I29" s="4"/>
      <c r="J29" s="4"/>
      <c r="K29" s="4"/>
      <c r="L29" s="4">
        <v>3</v>
      </c>
      <c r="M29" s="4"/>
      <c r="N29" s="39">
        <v>20</v>
      </c>
      <c r="O29" s="39">
        <v>15</v>
      </c>
    </row>
    <row r="30" spans="2:26" ht="18" thickBot="1" x14ac:dyDescent="0.5"/>
    <row r="31" spans="2:26" ht="18" thickBot="1" x14ac:dyDescent="0.5">
      <c r="C31" s="9" t="s">
        <v>30</v>
      </c>
      <c r="D31" s="69"/>
      <c r="E31" s="70"/>
      <c r="F31" s="71"/>
      <c r="H31" s="9" t="s">
        <v>30</v>
      </c>
      <c r="I31" s="69"/>
      <c r="J31" s="70"/>
      <c r="K31" s="71"/>
      <c r="R31" s="9" t="s">
        <v>50</v>
      </c>
      <c r="S31" s="69" t="s">
        <v>82</v>
      </c>
      <c r="T31" s="70"/>
      <c r="U31" s="71"/>
    </row>
    <row r="32" spans="2:26" ht="18" thickBot="1" x14ac:dyDescent="0.5">
      <c r="C32" s="60" t="s">
        <v>1</v>
      </c>
      <c r="D32" s="61" t="s">
        <v>5</v>
      </c>
      <c r="E32" s="62" t="s">
        <v>81</v>
      </c>
      <c r="F32" s="63" t="s">
        <v>23</v>
      </c>
      <c r="H32" s="60" t="s">
        <v>1</v>
      </c>
      <c r="I32" s="61" t="s">
        <v>5</v>
      </c>
      <c r="J32" s="62" t="s">
        <v>81</v>
      </c>
      <c r="K32" s="63" t="s">
        <v>23</v>
      </c>
      <c r="R32" s="60" t="s">
        <v>1</v>
      </c>
      <c r="S32" s="61" t="s">
        <v>5</v>
      </c>
      <c r="T32" s="62" t="s">
        <v>81</v>
      </c>
      <c r="U32" s="63" t="s">
        <v>23</v>
      </c>
    </row>
    <row r="33" spans="2:21" s="28" customFormat="1" x14ac:dyDescent="0.45">
      <c r="B33" s="1"/>
      <c r="C33" s="56" t="s">
        <v>2</v>
      </c>
      <c r="D33" s="57"/>
      <c r="E33" s="57"/>
      <c r="F33" s="58">
        <f>SUM($D$36+$E$36)*5</f>
        <v>0</v>
      </c>
      <c r="G33"/>
      <c r="H33" s="56" t="s">
        <v>2</v>
      </c>
      <c r="I33" s="57"/>
      <c r="J33" s="57"/>
      <c r="K33" s="58">
        <f>SUM($D$36+$E$36)*5</f>
        <v>0</v>
      </c>
      <c r="L33"/>
      <c r="P33"/>
      <c r="R33" s="56" t="s">
        <v>2</v>
      </c>
      <c r="S33" s="3">
        <v>40</v>
      </c>
      <c r="T33" s="57"/>
      <c r="U33" s="58">
        <f>SUM($D$36+$E$36)*5</f>
        <v>0</v>
      </c>
    </row>
    <row r="34" spans="2:21" s="28" customFormat="1" x14ac:dyDescent="0.45">
      <c r="B34" s="1"/>
      <c r="C34" s="48" t="s">
        <v>6</v>
      </c>
      <c r="D34" s="3"/>
      <c r="E34" s="3"/>
      <c r="F34" s="34">
        <f>SUM($D$36+$E$36)*5</f>
        <v>0</v>
      </c>
      <c r="G34"/>
      <c r="H34" s="48" t="s">
        <v>6</v>
      </c>
      <c r="I34" s="3"/>
      <c r="J34" s="3"/>
      <c r="K34" s="34">
        <f>SUM($D$36+$E$36)*5</f>
        <v>0</v>
      </c>
      <c r="L34"/>
      <c r="P34"/>
      <c r="R34" s="48" t="s">
        <v>6</v>
      </c>
      <c r="S34" s="3">
        <v>30</v>
      </c>
      <c r="T34" s="3"/>
      <c r="U34" s="34">
        <f>SUM($D$36+$E$36)*5</f>
        <v>0</v>
      </c>
    </row>
    <row r="35" spans="2:21" s="28" customFormat="1" x14ac:dyDescent="0.45">
      <c r="B35" s="1"/>
      <c r="C35" s="48" t="s">
        <v>3</v>
      </c>
      <c r="D35" s="3"/>
      <c r="E35" s="3"/>
      <c r="F35" s="34">
        <f>SUM(D35+E35)</f>
        <v>0</v>
      </c>
      <c r="G35"/>
      <c r="H35" s="48" t="s">
        <v>3</v>
      </c>
      <c r="I35" s="3"/>
      <c r="J35" s="3"/>
      <c r="K35" s="34">
        <f>SUM(I35+J35)</f>
        <v>0</v>
      </c>
      <c r="L35"/>
      <c r="P35"/>
      <c r="Q35"/>
      <c r="R35" s="48" t="s">
        <v>3</v>
      </c>
      <c r="S35" s="3">
        <v>8</v>
      </c>
      <c r="T35" s="3"/>
      <c r="U35" s="34">
        <f>SUM(S35+T35)</f>
        <v>8</v>
      </c>
    </row>
    <row r="36" spans="2:21" s="28" customFormat="1" x14ac:dyDescent="0.45">
      <c r="B36" s="1"/>
      <c r="C36" s="48" t="s">
        <v>88</v>
      </c>
      <c r="D36" s="3"/>
      <c r="E36" s="3"/>
      <c r="F36" s="34">
        <f t="shared" ref="F36:F42" si="13">SUM(D36+E36)</f>
        <v>0</v>
      </c>
      <c r="G36"/>
      <c r="H36" s="48" t="s">
        <v>88</v>
      </c>
      <c r="I36" s="3"/>
      <c r="J36" s="3"/>
      <c r="K36" s="34">
        <f t="shared" ref="K36:K42" si="14">SUM(I36+J36)</f>
        <v>0</v>
      </c>
      <c r="L36"/>
      <c r="P36"/>
      <c r="Q36"/>
      <c r="R36" s="48" t="s">
        <v>88</v>
      </c>
      <c r="S36" s="3">
        <v>7</v>
      </c>
      <c r="T36" s="3"/>
      <c r="U36" s="34">
        <f t="shared" ref="U36:U42" si="15">SUM(S36+T36)</f>
        <v>7</v>
      </c>
    </row>
    <row r="37" spans="2:21" s="28" customFormat="1" x14ac:dyDescent="0.45">
      <c r="B37" s="1"/>
      <c r="C37" s="48" t="s">
        <v>11</v>
      </c>
      <c r="D37" s="3"/>
      <c r="E37" s="3"/>
      <c r="F37" s="34">
        <f t="shared" si="13"/>
        <v>0</v>
      </c>
      <c r="G37"/>
      <c r="H37" s="48" t="s">
        <v>11</v>
      </c>
      <c r="I37" s="3"/>
      <c r="J37" s="3"/>
      <c r="K37" s="34">
        <f t="shared" si="14"/>
        <v>0</v>
      </c>
      <c r="L37"/>
      <c r="P37"/>
      <c r="Q37"/>
      <c r="R37" s="48" t="s">
        <v>11</v>
      </c>
      <c r="S37" s="3">
        <v>4</v>
      </c>
      <c r="T37" s="3"/>
      <c r="U37" s="34">
        <f t="shared" si="15"/>
        <v>4</v>
      </c>
    </row>
    <row r="38" spans="2:21" s="28" customFormat="1" x14ac:dyDescent="0.45">
      <c r="B38" s="1"/>
      <c r="C38" s="48" t="s">
        <v>12</v>
      </c>
      <c r="D38" s="3"/>
      <c r="E38" s="3"/>
      <c r="F38" s="34">
        <f t="shared" si="13"/>
        <v>0</v>
      </c>
      <c r="G38"/>
      <c r="H38" s="48" t="s">
        <v>12</v>
      </c>
      <c r="I38" s="3"/>
      <c r="J38" s="3"/>
      <c r="K38" s="34">
        <f t="shared" si="14"/>
        <v>0</v>
      </c>
      <c r="L38"/>
      <c r="P38"/>
      <c r="Q38"/>
      <c r="R38" s="48" t="s">
        <v>12</v>
      </c>
      <c r="S38" s="3">
        <v>5</v>
      </c>
      <c r="T38" s="3"/>
      <c r="U38" s="34">
        <f t="shared" si="15"/>
        <v>5</v>
      </c>
    </row>
    <row r="39" spans="2:21" s="28" customFormat="1" x14ac:dyDescent="0.45">
      <c r="B39" s="1"/>
      <c r="C39" s="48" t="s">
        <v>13</v>
      </c>
      <c r="D39" s="3"/>
      <c r="E39" s="3"/>
      <c r="F39" s="34">
        <f t="shared" si="13"/>
        <v>0</v>
      </c>
      <c r="G39"/>
      <c r="H39" s="48" t="s">
        <v>13</v>
      </c>
      <c r="I39" s="3"/>
      <c r="J39" s="3"/>
      <c r="K39" s="34">
        <f t="shared" si="14"/>
        <v>0</v>
      </c>
      <c r="L39"/>
      <c r="P39"/>
      <c r="Q39"/>
      <c r="R39" s="48" t="s">
        <v>13</v>
      </c>
      <c r="S39" s="3">
        <v>3</v>
      </c>
      <c r="T39" s="3"/>
      <c r="U39" s="34">
        <f t="shared" si="15"/>
        <v>3</v>
      </c>
    </row>
    <row r="40" spans="2:21" s="28" customFormat="1" x14ac:dyDescent="0.45">
      <c r="B40" s="1"/>
      <c r="C40" s="48" t="s">
        <v>14</v>
      </c>
      <c r="D40" s="3"/>
      <c r="E40" s="3"/>
      <c r="F40" s="34">
        <f t="shared" si="13"/>
        <v>0</v>
      </c>
      <c r="G40"/>
      <c r="H40" s="48" t="s">
        <v>14</v>
      </c>
      <c r="I40" s="3"/>
      <c r="J40" s="3"/>
      <c r="K40" s="34">
        <f t="shared" si="14"/>
        <v>0</v>
      </c>
      <c r="L40"/>
      <c r="P40"/>
      <c r="Q40"/>
      <c r="R40" s="48" t="s">
        <v>14</v>
      </c>
      <c r="S40" s="3">
        <v>2</v>
      </c>
      <c r="T40" s="3"/>
      <c r="U40" s="34">
        <f t="shared" si="15"/>
        <v>2</v>
      </c>
    </row>
    <row r="41" spans="2:21" s="28" customFormat="1" x14ac:dyDescent="0.45">
      <c r="B41" s="1"/>
      <c r="C41" s="48" t="s">
        <v>15</v>
      </c>
      <c r="D41" s="3"/>
      <c r="E41" s="3"/>
      <c r="F41" s="34">
        <f t="shared" si="13"/>
        <v>0</v>
      </c>
      <c r="G41"/>
      <c r="H41" s="48" t="s">
        <v>15</v>
      </c>
      <c r="I41" s="3"/>
      <c r="J41" s="3"/>
      <c r="K41" s="34">
        <f t="shared" si="14"/>
        <v>0</v>
      </c>
      <c r="L41"/>
      <c r="P41"/>
      <c r="Q41"/>
      <c r="R41" s="48" t="s">
        <v>15</v>
      </c>
      <c r="S41" s="3">
        <v>4</v>
      </c>
      <c r="T41" s="3"/>
      <c r="U41" s="34">
        <f t="shared" si="15"/>
        <v>4</v>
      </c>
    </row>
    <row r="42" spans="2:21" s="28" customFormat="1" ht="18" thickBot="1" x14ac:dyDescent="0.5">
      <c r="B42" s="1"/>
      <c r="C42" s="49" t="s">
        <v>27</v>
      </c>
      <c r="D42" s="35"/>
      <c r="E42" s="59"/>
      <c r="F42" s="36">
        <f t="shared" si="13"/>
        <v>0</v>
      </c>
      <c r="G42"/>
      <c r="H42" s="49" t="s">
        <v>27</v>
      </c>
      <c r="I42" s="35"/>
      <c r="J42" s="59"/>
      <c r="K42" s="36">
        <f t="shared" si="14"/>
        <v>0</v>
      </c>
      <c r="L42"/>
      <c r="P42"/>
      <c r="Q42"/>
      <c r="R42" s="49" t="s">
        <v>27</v>
      </c>
      <c r="S42" s="35"/>
      <c r="T42" s="59"/>
      <c r="U42" s="36">
        <f t="shared" si="15"/>
        <v>0</v>
      </c>
    </row>
    <row r="43" spans="2:21" s="28" customFormat="1" ht="18" thickBot="1" x14ac:dyDescent="0.5">
      <c r="B43" s="1"/>
      <c r="C43" s="1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</row>
    <row r="44" spans="2:21" s="28" customFormat="1" ht="18" thickBot="1" x14ac:dyDescent="0.5">
      <c r="B44" s="1"/>
      <c r="C44" s="9" t="s">
        <v>30</v>
      </c>
      <c r="D44" s="69"/>
      <c r="E44" s="70"/>
      <c r="F44" s="71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</row>
    <row r="45" spans="2:21" s="28" customFormat="1" ht="18" thickBot="1" x14ac:dyDescent="0.5">
      <c r="B45" s="1"/>
      <c r="C45" s="60" t="s">
        <v>1</v>
      </c>
      <c r="D45" s="61" t="s">
        <v>5</v>
      </c>
      <c r="E45" s="62" t="s">
        <v>81</v>
      </c>
      <c r="F45" s="63" t="s">
        <v>23</v>
      </c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</row>
    <row r="46" spans="2:21" s="28" customFormat="1" x14ac:dyDescent="0.45">
      <c r="B46" s="1"/>
      <c r="C46" s="56" t="s">
        <v>2</v>
      </c>
      <c r="D46" s="57"/>
      <c r="E46" s="57"/>
      <c r="F46" s="58">
        <f>SUM($D$36+$E$36)*5</f>
        <v>0</v>
      </c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</row>
    <row r="47" spans="2:21" s="28" customFormat="1" x14ac:dyDescent="0.45">
      <c r="B47" s="1"/>
      <c r="C47" s="48" t="s">
        <v>6</v>
      </c>
      <c r="D47" s="3"/>
      <c r="E47" s="3"/>
      <c r="F47" s="34">
        <f>SUM($D$36+$E$36)*5</f>
        <v>0</v>
      </c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</row>
    <row r="48" spans="2:21" s="28" customFormat="1" x14ac:dyDescent="0.45">
      <c r="B48" s="1"/>
      <c r="C48" s="48" t="s">
        <v>3</v>
      </c>
      <c r="D48" s="3"/>
      <c r="E48" s="3"/>
      <c r="F48" s="34">
        <f>SUM(D48+E48)</f>
        <v>0</v>
      </c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</row>
    <row r="49" spans="2:26" s="28" customFormat="1" x14ac:dyDescent="0.45">
      <c r="B49" s="1"/>
      <c r="C49" s="48" t="s">
        <v>88</v>
      </c>
      <c r="D49" s="3"/>
      <c r="E49" s="3"/>
      <c r="F49" s="34">
        <f t="shared" ref="F49:F55" si="16">SUM(D49+E49)</f>
        <v>0</v>
      </c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</row>
    <row r="50" spans="2:26" s="28" customFormat="1" x14ac:dyDescent="0.45">
      <c r="B50" s="1"/>
      <c r="C50" s="48" t="s">
        <v>11</v>
      </c>
      <c r="D50" s="3"/>
      <c r="E50" s="3"/>
      <c r="F50" s="34">
        <f t="shared" si="16"/>
        <v>0</v>
      </c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</row>
    <row r="51" spans="2:26" s="28" customFormat="1" x14ac:dyDescent="0.45">
      <c r="B51" s="1"/>
      <c r="C51" s="48" t="s">
        <v>12</v>
      </c>
      <c r="D51" s="3"/>
      <c r="E51" s="3"/>
      <c r="F51" s="34">
        <f t="shared" si="16"/>
        <v>0</v>
      </c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</row>
    <row r="52" spans="2:26" s="28" customFormat="1" x14ac:dyDescent="0.45">
      <c r="B52" s="1"/>
      <c r="C52" s="48" t="s">
        <v>13</v>
      </c>
      <c r="D52" s="3"/>
      <c r="E52" s="3"/>
      <c r="F52" s="34">
        <f t="shared" si="16"/>
        <v>0</v>
      </c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</row>
    <row r="53" spans="2:26" s="28" customFormat="1" x14ac:dyDescent="0.45">
      <c r="B53" s="1"/>
      <c r="C53" s="48" t="s">
        <v>14</v>
      </c>
      <c r="D53" s="3"/>
      <c r="E53" s="3"/>
      <c r="F53" s="34">
        <f t="shared" si="16"/>
        <v>0</v>
      </c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</row>
    <row r="54" spans="2:26" s="28" customFormat="1" x14ac:dyDescent="0.45">
      <c r="B54" s="1"/>
      <c r="C54" s="48" t="s">
        <v>15</v>
      </c>
      <c r="D54" s="3"/>
      <c r="E54" s="3"/>
      <c r="F54" s="34">
        <f t="shared" si="16"/>
        <v>0</v>
      </c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</row>
    <row r="55" spans="2:26" s="28" customFormat="1" ht="18" thickBot="1" x14ac:dyDescent="0.5">
      <c r="B55" s="1"/>
      <c r="C55" s="49" t="s">
        <v>27</v>
      </c>
      <c r="D55" s="35"/>
      <c r="E55" s="59"/>
      <c r="F55" s="36">
        <f t="shared" si="16"/>
        <v>0</v>
      </c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</row>
    <row r="56" spans="2:26" s="28" customFormat="1" x14ac:dyDescent="0.45">
      <c r="B56" s="1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</row>
    <row r="57" spans="2:26" s="28" customFormat="1" x14ac:dyDescent="0.45">
      <c r="B57" s="1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</row>
    <row r="63" spans="2:26" x14ac:dyDescent="0.45">
      <c r="V63" s="67" t="s">
        <v>84</v>
      </c>
      <c r="W63" s="67"/>
      <c r="X63" s="67"/>
      <c r="Y63" s="67"/>
      <c r="Z63" s="67"/>
    </row>
    <row r="64" spans="2:26" x14ac:dyDescent="0.45">
      <c r="V64" s="29" t="s">
        <v>85</v>
      </c>
      <c r="W64" s="29"/>
      <c r="X64" s="29"/>
      <c r="Y64" s="29"/>
      <c r="Z64" s="3"/>
    </row>
    <row r="65" spans="22:26" x14ac:dyDescent="0.45">
      <c r="V65" s="29">
        <v>8</v>
      </c>
      <c r="W65" s="29"/>
      <c r="X65" s="29"/>
      <c r="Y65" s="29"/>
      <c r="Z65" s="3"/>
    </row>
  </sheetData>
  <mergeCells count="24">
    <mergeCell ref="D44:F44"/>
    <mergeCell ref="V63:Z63"/>
    <mergeCell ref="R28:V28"/>
    <mergeCell ref="R17:V17"/>
    <mergeCell ref="R18:V18"/>
    <mergeCell ref="R19:V19"/>
    <mergeCell ref="R20:V20"/>
    <mergeCell ref="R21:V21"/>
    <mergeCell ref="R22:V22"/>
    <mergeCell ref="R23:V23"/>
    <mergeCell ref="R24:V24"/>
    <mergeCell ref="R25:V25"/>
    <mergeCell ref="R26:V26"/>
    <mergeCell ref="R27:V27"/>
    <mergeCell ref="S2:U2"/>
    <mergeCell ref="X2:AA2"/>
    <mergeCell ref="D4:O5"/>
    <mergeCell ref="D31:F31"/>
    <mergeCell ref="S31:U31"/>
    <mergeCell ref="I31:K31"/>
    <mergeCell ref="Q2:Q3"/>
    <mergeCell ref="D2:I2"/>
    <mergeCell ref="J2:M2"/>
    <mergeCell ref="N2:O2"/>
  </mergeCells>
  <phoneticPr fontId="6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Z57"/>
  <sheetViews>
    <sheetView topLeftCell="B1" zoomScale="70" zoomScaleNormal="70" workbookViewId="0">
      <selection activeCell="P5" sqref="P5"/>
    </sheetView>
  </sheetViews>
  <sheetFormatPr defaultRowHeight="17.5" x14ac:dyDescent="0.45"/>
  <cols>
    <col min="1" max="1" width="2.75" customWidth="1"/>
    <col min="2" max="2" width="41.6640625" style="1" customWidth="1"/>
    <col min="3" max="15" width="8.58203125" customWidth="1"/>
    <col min="16" max="16" width="16.25" customWidth="1"/>
    <col min="17" max="17" width="20.58203125" customWidth="1"/>
    <col min="18" max="19" width="8.58203125" customWidth="1"/>
    <col min="20" max="20" width="12.58203125" customWidth="1"/>
    <col min="22" max="22" width="12.58203125" style="28" customWidth="1"/>
    <col min="23" max="26" width="8.58203125" style="28" customWidth="1"/>
  </cols>
  <sheetData>
    <row r="1" spans="2:21" ht="18" thickBot="1" x14ac:dyDescent="0.5"/>
    <row r="2" spans="2:21" ht="30.5" thickBot="1" x14ac:dyDescent="0.5">
      <c r="B2" s="19" t="s">
        <v>0</v>
      </c>
      <c r="C2" s="64" t="s">
        <v>73</v>
      </c>
      <c r="D2" s="74" t="s">
        <v>4</v>
      </c>
      <c r="E2" s="65"/>
      <c r="F2" s="65"/>
      <c r="G2" s="65"/>
      <c r="H2" s="65"/>
      <c r="I2" s="66"/>
      <c r="J2" s="74" t="s">
        <v>18</v>
      </c>
      <c r="K2" s="65"/>
      <c r="L2" s="65"/>
      <c r="M2" s="66"/>
      <c r="N2" s="74" t="s">
        <v>25</v>
      </c>
      <c r="O2" s="66"/>
      <c r="P2" s="17" t="s">
        <v>34</v>
      </c>
      <c r="Q2" s="72" t="s">
        <v>1</v>
      </c>
      <c r="R2" s="2"/>
      <c r="S2" s="65" t="s">
        <v>31</v>
      </c>
      <c r="T2" s="65"/>
      <c r="U2" s="66"/>
    </row>
    <row r="3" spans="2:21" ht="30.5" thickBot="1" x14ac:dyDescent="0.5">
      <c r="B3" s="20" t="s">
        <v>1</v>
      </c>
      <c r="C3" s="8" t="s">
        <v>5</v>
      </c>
      <c r="D3" s="24" t="s">
        <v>7</v>
      </c>
      <c r="E3" s="24" t="s">
        <v>16</v>
      </c>
      <c r="F3" s="24" t="s">
        <v>8</v>
      </c>
      <c r="G3" s="24" t="s">
        <v>9</v>
      </c>
      <c r="H3" s="24" t="s">
        <v>10</v>
      </c>
      <c r="I3" s="24" t="s">
        <v>17</v>
      </c>
      <c r="J3" s="5" t="s">
        <v>19</v>
      </c>
      <c r="K3" s="5" t="s">
        <v>20</v>
      </c>
      <c r="L3" s="5" t="s">
        <v>21</v>
      </c>
      <c r="M3" s="5" t="s">
        <v>22</v>
      </c>
      <c r="N3" s="5" t="s">
        <v>25</v>
      </c>
      <c r="O3" s="5" t="s">
        <v>26</v>
      </c>
      <c r="P3" s="7" t="s">
        <v>35</v>
      </c>
      <c r="Q3" s="73"/>
      <c r="R3" s="50" t="s">
        <v>23</v>
      </c>
      <c r="S3" s="15" t="s">
        <v>32</v>
      </c>
      <c r="T3" s="15" t="s">
        <v>33</v>
      </c>
      <c r="U3" s="16" t="s">
        <v>72</v>
      </c>
    </row>
    <row r="4" spans="2:21" ht="18.5" thickTop="1" thickBot="1" x14ac:dyDescent="0.5">
      <c r="B4" s="41" t="s">
        <v>2</v>
      </c>
      <c r="C4" s="3">
        <v>30</v>
      </c>
      <c r="D4" s="68"/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  <c r="P4" s="21" t="s">
        <v>83</v>
      </c>
      <c r="Q4" s="51" t="s">
        <v>2</v>
      </c>
      <c r="R4" s="27">
        <f>SUM($C$7:$M$7)*5</f>
        <v>30</v>
      </c>
      <c r="S4" s="25"/>
      <c r="T4" s="25"/>
      <c r="U4" s="27">
        <f t="shared" ref="U4:U5" si="0">R4+S4-T4</f>
        <v>30</v>
      </c>
    </row>
    <row r="5" spans="2:21" ht="18.5" thickTop="1" thickBot="1" x14ac:dyDescent="0.5">
      <c r="B5" s="41" t="s">
        <v>6</v>
      </c>
      <c r="C5" s="3">
        <v>30</v>
      </c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21">
        <f>INT(3+(R10/5))</f>
        <v>4</v>
      </c>
      <c r="Q5" s="41" t="s">
        <v>6</v>
      </c>
      <c r="R5" s="27">
        <f>SUM($C$7:$M$7)*5</f>
        <v>30</v>
      </c>
      <c r="S5" s="26"/>
      <c r="T5" s="26"/>
      <c r="U5" s="27">
        <f t="shared" si="0"/>
        <v>30</v>
      </c>
    </row>
    <row r="6" spans="2:21" ht="18" thickTop="1" x14ac:dyDescent="0.45">
      <c r="B6" s="41" t="s">
        <v>3</v>
      </c>
      <c r="C6" s="3">
        <v>6</v>
      </c>
      <c r="D6" s="12">
        <f t="shared" ref="D6:O6" si="1">INDEX($D:$D, COLUMN(A1)+17)</f>
        <v>0</v>
      </c>
      <c r="E6" s="12">
        <f t="shared" si="1"/>
        <v>0</v>
      </c>
      <c r="F6" s="12">
        <f t="shared" si="1"/>
        <v>0</v>
      </c>
      <c r="G6" s="12">
        <f t="shared" si="1"/>
        <v>0</v>
      </c>
      <c r="H6" s="12">
        <f t="shared" si="1"/>
        <v>0</v>
      </c>
      <c r="I6" s="12">
        <f t="shared" si="1"/>
        <v>0</v>
      </c>
      <c r="J6" s="12">
        <f t="shared" si="1"/>
        <v>0</v>
      </c>
      <c r="K6" s="12">
        <f t="shared" si="1"/>
        <v>0</v>
      </c>
      <c r="L6" s="12">
        <f t="shared" si="1"/>
        <v>0</v>
      </c>
      <c r="M6" s="12">
        <f t="shared" si="1"/>
        <v>0</v>
      </c>
      <c r="N6" s="12">
        <f t="shared" si="1"/>
        <v>0</v>
      </c>
      <c r="O6" s="12">
        <f t="shared" si="1"/>
        <v>0</v>
      </c>
      <c r="P6" s="3"/>
      <c r="Q6" s="41" t="s">
        <v>3</v>
      </c>
      <c r="R6" s="27">
        <f t="shared" ref="R6:R15" si="2">SUM(C6:P6)</f>
        <v>6</v>
      </c>
      <c r="S6" s="26"/>
      <c r="T6" s="26"/>
      <c r="U6" s="27">
        <f>R6+S6-T6</f>
        <v>6</v>
      </c>
    </row>
    <row r="7" spans="2:21" x14ac:dyDescent="0.45">
      <c r="B7" s="41" t="s">
        <v>88</v>
      </c>
      <c r="C7" s="3">
        <v>6</v>
      </c>
      <c r="D7" s="3">
        <f>INDEX($E:$E, COLUMN(A1)+17)</f>
        <v>0</v>
      </c>
      <c r="E7" s="3">
        <f t="shared" ref="E7:O7" si="3">INDEX($E:$E, COLUMN(B1)+17)</f>
        <v>0</v>
      </c>
      <c r="F7" s="3">
        <f t="shared" si="3"/>
        <v>0</v>
      </c>
      <c r="G7" s="3">
        <f t="shared" si="3"/>
        <v>0</v>
      </c>
      <c r="H7" s="3">
        <f t="shared" si="3"/>
        <v>0</v>
      </c>
      <c r="I7" s="3">
        <f t="shared" si="3"/>
        <v>0</v>
      </c>
      <c r="J7" s="3">
        <f t="shared" si="3"/>
        <v>0</v>
      </c>
      <c r="K7" s="3">
        <f t="shared" si="3"/>
        <v>0</v>
      </c>
      <c r="L7" s="3">
        <f t="shared" si="3"/>
        <v>0</v>
      </c>
      <c r="M7" s="3">
        <f t="shared" si="3"/>
        <v>0</v>
      </c>
      <c r="N7" s="3">
        <f t="shared" si="3"/>
        <v>0</v>
      </c>
      <c r="O7" s="3">
        <f t="shared" si="3"/>
        <v>0</v>
      </c>
      <c r="P7" s="3"/>
      <c r="Q7" s="41" t="s">
        <v>88</v>
      </c>
      <c r="R7" s="27">
        <f t="shared" si="2"/>
        <v>6</v>
      </c>
      <c r="S7" s="26"/>
      <c r="T7" s="26"/>
      <c r="U7" s="27">
        <f t="shared" ref="U7:U15" si="4">R7+S7-T7</f>
        <v>6</v>
      </c>
    </row>
    <row r="8" spans="2:21" x14ac:dyDescent="0.45">
      <c r="B8" s="41" t="s">
        <v>11</v>
      </c>
      <c r="C8" s="3">
        <v>6</v>
      </c>
      <c r="D8" s="3">
        <f>INDEX($F:$F, COLUMN(A1)+17)</f>
        <v>0</v>
      </c>
      <c r="E8" s="3">
        <f t="shared" ref="E8:O8" si="5">INDEX($F:$F, COLUMN(B1)+17)</f>
        <v>0</v>
      </c>
      <c r="F8" s="3">
        <f t="shared" si="5"/>
        <v>0</v>
      </c>
      <c r="G8" s="3">
        <f t="shared" si="5"/>
        <v>0</v>
      </c>
      <c r="H8" s="3">
        <f t="shared" si="5"/>
        <v>0</v>
      </c>
      <c r="I8" s="3">
        <f t="shared" si="5"/>
        <v>0</v>
      </c>
      <c r="J8" s="3">
        <f t="shared" si="5"/>
        <v>0</v>
      </c>
      <c r="K8" s="3">
        <f t="shared" si="5"/>
        <v>0</v>
      </c>
      <c r="L8" s="3">
        <f t="shared" si="5"/>
        <v>0</v>
      </c>
      <c r="M8" s="3">
        <f t="shared" si="5"/>
        <v>0</v>
      </c>
      <c r="N8" s="3">
        <f t="shared" si="5"/>
        <v>0</v>
      </c>
      <c r="O8" s="3">
        <f t="shared" si="5"/>
        <v>0</v>
      </c>
      <c r="P8" s="3"/>
      <c r="Q8" s="41" t="s">
        <v>11</v>
      </c>
      <c r="R8" s="27">
        <f t="shared" si="2"/>
        <v>6</v>
      </c>
      <c r="S8" s="26"/>
      <c r="T8" s="26"/>
      <c r="U8" s="27">
        <f t="shared" si="4"/>
        <v>6</v>
      </c>
    </row>
    <row r="9" spans="2:21" x14ac:dyDescent="0.45">
      <c r="B9" s="41" t="s">
        <v>12</v>
      </c>
      <c r="C9" s="3">
        <v>6</v>
      </c>
      <c r="D9" s="3">
        <f>INDEX($G:$G, COLUMN(A1)+17)</f>
        <v>0</v>
      </c>
      <c r="E9" s="3">
        <f t="shared" ref="E9:O9" si="6">INDEX($G:$G, COLUMN(B1)+17)</f>
        <v>0</v>
      </c>
      <c r="F9" s="3">
        <f t="shared" si="6"/>
        <v>0</v>
      </c>
      <c r="G9" s="3">
        <f t="shared" si="6"/>
        <v>0</v>
      </c>
      <c r="H9" s="3">
        <f t="shared" si="6"/>
        <v>0</v>
      </c>
      <c r="I9" s="3">
        <f t="shared" si="6"/>
        <v>0</v>
      </c>
      <c r="J9" s="3">
        <f t="shared" si="6"/>
        <v>0</v>
      </c>
      <c r="K9" s="3">
        <f t="shared" si="6"/>
        <v>0</v>
      </c>
      <c r="L9" s="3">
        <f t="shared" si="6"/>
        <v>0</v>
      </c>
      <c r="M9" s="3">
        <f t="shared" si="6"/>
        <v>0</v>
      </c>
      <c r="N9" s="3">
        <f t="shared" si="6"/>
        <v>0</v>
      </c>
      <c r="O9" s="3">
        <f t="shared" si="6"/>
        <v>0</v>
      </c>
      <c r="P9" s="3"/>
      <c r="Q9" s="41" t="s">
        <v>12</v>
      </c>
      <c r="R9" s="27">
        <f t="shared" si="2"/>
        <v>6</v>
      </c>
      <c r="S9" s="26"/>
      <c r="T9" s="26"/>
      <c r="U9" s="27">
        <f t="shared" si="4"/>
        <v>6</v>
      </c>
    </row>
    <row r="10" spans="2:21" x14ac:dyDescent="0.45">
      <c r="B10" s="41" t="s">
        <v>13</v>
      </c>
      <c r="C10" s="3">
        <v>6</v>
      </c>
      <c r="D10" s="3">
        <f>INDEX($H:$H, COLUMN(A$1)+17)</f>
        <v>0</v>
      </c>
      <c r="E10" s="3">
        <f t="shared" ref="E10:O10" si="7">INDEX($H:$H, COLUMN(B$1)+17)</f>
        <v>0</v>
      </c>
      <c r="F10" s="3">
        <f t="shared" si="7"/>
        <v>0</v>
      </c>
      <c r="G10" s="3">
        <f t="shared" si="7"/>
        <v>0</v>
      </c>
      <c r="H10" s="3">
        <f t="shared" si="7"/>
        <v>0</v>
      </c>
      <c r="I10" s="3">
        <f t="shared" si="7"/>
        <v>0</v>
      </c>
      <c r="J10" s="3">
        <f t="shared" si="7"/>
        <v>0</v>
      </c>
      <c r="K10" s="3">
        <f t="shared" si="7"/>
        <v>0</v>
      </c>
      <c r="L10" s="3">
        <f t="shared" si="7"/>
        <v>0</v>
      </c>
      <c r="M10" s="3">
        <f t="shared" si="7"/>
        <v>0</v>
      </c>
      <c r="N10" s="3">
        <f t="shared" si="7"/>
        <v>0</v>
      </c>
      <c r="O10" s="3">
        <f t="shared" si="7"/>
        <v>0</v>
      </c>
      <c r="P10" s="3"/>
      <c r="Q10" s="41" t="s">
        <v>13</v>
      </c>
      <c r="R10" s="27">
        <f t="shared" si="2"/>
        <v>6</v>
      </c>
      <c r="S10" s="26"/>
      <c r="T10" s="26"/>
      <c r="U10" s="27">
        <f t="shared" si="4"/>
        <v>6</v>
      </c>
    </row>
    <row r="11" spans="2:21" x14ac:dyDescent="0.45">
      <c r="B11" s="41" t="s">
        <v>14</v>
      </c>
      <c r="C11" s="3">
        <v>6</v>
      </c>
      <c r="D11" s="3">
        <f>INDEX($I:$I, COLUMN(A$1)+17)</f>
        <v>0</v>
      </c>
      <c r="E11" s="3">
        <f t="shared" ref="E11:O11" si="8">INDEX($I:$I, COLUMN(B$1)+17)</f>
        <v>0</v>
      </c>
      <c r="F11" s="3">
        <f t="shared" si="8"/>
        <v>0</v>
      </c>
      <c r="G11" s="3">
        <f t="shared" si="8"/>
        <v>0</v>
      </c>
      <c r="H11" s="3">
        <f t="shared" si="8"/>
        <v>0</v>
      </c>
      <c r="I11" s="3">
        <f t="shared" si="8"/>
        <v>0</v>
      </c>
      <c r="J11" s="3">
        <f t="shared" si="8"/>
        <v>0</v>
      </c>
      <c r="K11" s="3">
        <f t="shared" si="8"/>
        <v>0</v>
      </c>
      <c r="L11" s="3">
        <f t="shared" si="8"/>
        <v>0</v>
      </c>
      <c r="M11" s="3">
        <f t="shared" si="8"/>
        <v>0</v>
      </c>
      <c r="N11" s="3">
        <f t="shared" si="8"/>
        <v>0</v>
      </c>
      <c r="O11" s="3">
        <f t="shared" si="8"/>
        <v>0</v>
      </c>
      <c r="P11" s="3"/>
      <c r="Q11" s="41" t="s">
        <v>14</v>
      </c>
      <c r="R11" s="27">
        <f t="shared" si="2"/>
        <v>6</v>
      </c>
      <c r="S11" s="26"/>
      <c r="T11" s="26"/>
      <c r="U11" s="27">
        <f t="shared" si="4"/>
        <v>6</v>
      </c>
    </row>
    <row r="12" spans="2:21" x14ac:dyDescent="0.45">
      <c r="B12" s="41" t="s">
        <v>15</v>
      </c>
      <c r="C12" s="3">
        <v>6</v>
      </c>
      <c r="D12" s="3">
        <f>INDEX($J:$J, COLUMN(A$1)+17)</f>
        <v>0</v>
      </c>
      <c r="E12" s="3">
        <f t="shared" ref="E12:O12" si="9">INDEX($J:$J, COLUMN(B$1)+17)</f>
        <v>0</v>
      </c>
      <c r="F12" s="3">
        <f t="shared" si="9"/>
        <v>0</v>
      </c>
      <c r="G12" s="3">
        <f t="shared" si="9"/>
        <v>0</v>
      </c>
      <c r="H12" s="3">
        <f t="shared" si="9"/>
        <v>0</v>
      </c>
      <c r="I12" s="3">
        <f t="shared" si="9"/>
        <v>0</v>
      </c>
      <c r="J12" s="3">
        <f t="shared" si="9"/>
        <v>0</v>
      </c>
      <c r="K12" s="3">
        <f t="shared" si="9"/>
        <v>0</v>
      </c>
      <c r="L12" s="3">
        <f t="shared" si="9"/>
        <v>0</v>
      </c>
      <c r="M12" s="3">
        <f t="shared" si="9"/>
        <v>0</v>
      </c>
      <c r="N12" s="3">
        <f t="shared" si="9"/>
        <v>0</v>
      </c>
      <c r="O12" s="3">
        <f t="shared" si="9"/>
        <v>0</v>
      </c>
      <c r="P12" s="3"/>
      <c r="Q12" s="41" t="s">
        <v>15</v>
      </c>
      <c r="R12" s="27">
        <f t="shared" si="2"/>
        <v>6</v>
      </c>
      <c r="S12" s="26"/>
      <c r="T12" s="26"/>
      <c r="U12" s="27">
        <f t="shared" si="4"/>
        <v>6</v>
      </c>
    </row>
    <row r="13" spans="2:21" x14ac:dyDescent="0.45">
      <c r="B13" s="41" t="s">
        <v>27</v>
      </c>
      <c r="C13" s="10" t="s">
        <v>24</v>
      </c>
      <c r="D13" s="3">
        <f>INDEX($K:$K, COLUMN(A$1)+17)</f>
        <v>0</v>
      </c>
      <c r="E13" s="3">
        <f t="shared" ref="E13:O13" si="10">INDEX($K:$K, COLUMN(B$1)+17)</f>
        <v>0</v>
      </c>
      <c r="F13" s="3">
        <f t="shared" si="10"/>
        <v>0</v>
      </c>
      <c r="G13" s="3">
        <f t="shared" si="10"/>
        <v>0</v>
      </c>
      <c r="H13" s="3">
        <f t="shared" si="10"/>
        <v>0</v>
      </c>
      <c r="I13" s="3">
        <f t="shared" si="10"/>
        <v>0</v>
      </c>
      <c r="J13" s="3">
        <f t="shared" si="10"/>
        <v>0</v>
      </c>
      <c r="K13" s="3">
        <f t="shared" si="10"/>
        <v>0</v>
      </c>
      <c r="L13" s="3">
        <f t="shared" si="10"/>
        <v>0</v>
      </c>
      <c r="M13" s="3">
        <f t="shared" si="10"/>
        <v>0</v>
      </c>
      <c r="N13" s="3">
        <f t="shared" si="10"/>
        <v>1</v>
      </c>
      <c r="O13" s="3">
        <f t="shared" si="10"/>
        <v>0</v>
      </c>
      <c r="P13" s="3"/>
      <c r="Q13" s="41" t="s">
        <v>27</v>
      </c>
      <c r="R13" s="27">
        <f t="shared" si="2"/>
        <v>1</v>
      </c>
      <c r="S13" s="26"/>
      <c r="T13" s="26"/>
      <c r="U13" s="27">
        <f t="shared" si="4"/>
        <v>1</v>
      </c>
    </row>
    <row r="14" spans="2:21" x14ac:dyDescent="0.45">
      <c r="B14" s="41" t="s">
        <v>40</v>
      </c>
      <c r="C14" s="10" t="s">
        <v>24</v>
      </c>
      <c r="D14" s="3">
        <f>INDEX($L:$L, COLUMN(A$1)+17)</f>
        <v>0</v>
      </c>
      <c r="E14" s="3">
        <f t="shared" ref="E14:O14" si="11">INDEX($L:$L, COLUMN(B$1)+17)</f>
        <v>0</v>
      </c>
      <c r="F14" s="3">
        <f t="shared" si="11"/>
        <v>0</v>
      </c>
      <c r="G14" s="3">
        <f t="shared" si="11"/>
        <v>0</v>
      </c>
      <c r="H14" s="3">
        <f t="shared" si="11"/>
        <v>0</v>
      </c>
      <c r="I14" s="3">
        <f t="shared" si="11"/>
        <v>0</v>
      </c>
      <c r="J14" s="3">
        <f t="shared" si="11"/>
        <v>0</v>
      </c>
      <c r="K14" s="3">
        <f t="shared" si="11"/>
        <v>0</v>
      </c>
      <c r="L14" s="3">
        <f t="shared" si="11"/>
        <v>0</v>
      </c>
      <c r="M14" s="3">
        <f t="shared" si="11"/>
        <v>0</v>
      </c>
      <c r="N14" s="3">
        <f t="shared" si="11"/>
        <v>0</v>
      </c>
      <c r="O14" s="3">
        <f t="shared" si="11"/>
        <v>0</v>
      </c>
      <c r="P14" s="3" t="s">
        <v>24</v>
      </c>
      <c r="Q14" s="41" t="s">
        <v>40</v>
      </c>
      <c r="R14" s="27">
        <f t="shared" si="2"/>
        <v>0</v>
      </c>
      <c r="S14" s="26"/>
      <c r="T14" s="26"/>
      <c r="U14" s="27">
        <f t="shared" si="4"/>
        <v>0</v>
      </c>
    </row>
    <row r="15" spans="2:21" x14ac:dyDescent="0.45">
      <c r="B15" s="41" t="s">
        <v>42</v>
      </c>
      <c r="C15" s="3" t="s">
        <v>24</v>
      </c>
      <c r="D15" s="3">
        <f>INDEX($M:$M, COLUMN(A$1)+17)</f>
        <v>0</v>
      </c>
      <c r="E15" s="3">
        <f t="shared" ref="E15:O15" si="12">INDEX($M:$M, COLUMN(B$1)+17)</f>
        <v>0</v>
      </c>
      <c r="F15" s="3">
        <f t="shared" si="12"/>
        <v>0</v>
      </c>
      <c r="G15" s="3">
        <f t="shared" si="12"/>
        <v>0</v>
      </c>
      <c r="H15" s="3">
        <f t="shared" si="12"/>
        <v>0</v>
      </c>
      <c r="I15" s="3">
        <f t="shared" si="12"/>
        <v>0</v>
      </c>
      <c r="J15" s="3">
        <f t="shared" si="12"/>
        <v>0</v>
      </c>
      <c r="K15" s="3">
        <f t="shared" si="12"/>
        <v>0</v>
      </c>
      <c r="L15" s="3">
        <f t="shared" si="12"/>
        <v>0</v>
      </c>
      <c r="M15" s="3">
        <f t="shared" si="12"/>
        <v>0</v>
      </c>
      <c r="N15" s="3">
        <f t="shared" si="12"/>
        <v>0</v>
      </c>
      <c r="O15" s="3">
        <f t="shared" si="12"/>
        <v>0</v>
      </c>
      <c r="P15" s="3"/>
      <c r="Q15" s="41" t="s">
        <v>42</v>
      </c>
      <c r="R15" s="27">
        <f t="shared" si="2"/>
        <v>0</v>
      </c>
      <c r="S15" s="26"/>
      <c r="T15" s="26"/>
      <c r="U15" s="27">
        <f t="shared" si="4"/>
        <v>0</v>
      </c>
    </row>
    <row r="16" spans="2:21" ht="18" thickBot="1" x14ac:dyDescent="0.5"/>
    <row r="17" spans="2:26" ht="34.5" thickBot="1" x14ac:dyDescent="0.5">
      <c r="B17" s="18" t="s">
        <v>0</v>
      </c>
      <c r="C17" s="11"/>
      <c r="D17" s="13" t="s">
        <v>3</v>
      </c>
      <c r="E17" s="14" t="s">
        <v>88</v>
      </c>
      <c r="F17" s="14" t="s">
        <v>11</v>
      </c>
      <c r="G17" s="14" t="s">
        <v>12</v>
      </c>
      <c r="H17" s="14" t="s">
        <v>13</v>
      </c>
      <c r="I17" s="14" t="s">
        <v>14</v>
      </c>
      <c r="J17" s="14" t="s">
        <v>15</v>
      </c>
      <c r="K17" s="14" t="s">
        <v>27</v>
      </c>
      <c r="L17" s="43" t="s">
        <v>71</v>
      </c>
      <c r="M17" s="14" t="s">
        <v>42</v>
      </c>
      <c r="N17" s="43" t="s">
        <v>69</v>
      </c>
      <c r="O17" s="44" t="s">
        <v>70</v>
      </c>
      <c r="Q17" s="40" t="s">
        <v>36</v>
      </c>
      <c r="R17" s="75" t="s">
        <v>37</v>
      </c>
      <c r="S17" s="76"/>
      <c r="T17" s="76"/>
      <c r="U17" s="76"/>
      <c r="V17" s="77"/>
      <c r="W17" s="6" t="s">
        <v>66</v>
      </c>
      <c r="X17" s="6" t="s">
        <v>68</v>
      </c>
      <c r="Y17"/>
    </row>
    <row r="18" spans="2:26" ht="17" customHeight="1" x14ac:dyDescent="0.45">
      <c r="B18" s="47"/>
      <c r="C18" s="23" t="s">
        <v>7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42"/>
      <c r="O18" s="42"/>
      <c r="Q18" s="55" t="s">
        <v>76</v>
      </c>
      <c r="R18" s="78" t="s">
        <v>77</v>
      </c>
      <c r="S18" s="79"/>
      <c r="T18" s="79"/>
      <c r="U18" s="79"/>
      <c r="V18" s="80"/>
      <c r="W18" s="6">
        <v>1</v>
      </c>
      <c r="X18" s="6"/>
      <c r="Y18"/>
    </row>
    <row r="19" spans="2:26" ht="17" customHeight="1" x14ac:dyDescent="0.45">
      <c r="B19" s="47"/>
      <c r="C19" s="22" t="s">
        <v>16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39"/>
      <c r="O19" s="39"/>
      <c r="Q19" s="55" t="s">
        <v>79</v>
      </c>
      <c r="R19" s="78" t="s">
        <v>78</v>
      </c>
      <c r="S19" s="79"/>
      <c r="T19" s="79"/>
      <c r="U19" s="79"/>
      <c r="V19" s="80"/>
      <c r="W19" s="6"/>
      <c r="X19" s="6">
        <v>2</v>
      </c>
      <c r="Y19"/>
    </row>
    <row r="20" spans="2:26" x14ac:dyDescent="0.45">
      <c r="B20" s="54" t="s">
        <v>74</v>
      </c>
      <c r="C20" s="22" t="s">
        <v>8</v>
      </c>
      <c r="D20" s="6"/>
      <c r="E20" s="6"/>
      <c r="F20" s="8"/>
      <c r="G20" s="8"/>
      <c r="H20" s="8"/>
      <c r="I20" s="8"/>
      <c r="J20" s="8"/>
      <c r="K20" s="8"/>
      <c r="L20" s="8"/>
      <c r="M20" s="8"/>
      <c r="N20" s="39"/>
      <c r="O20" s="39"/>
      <c r="Q20" s="40"/>
      <c r="R20" s="75"/>
      <c r="S20" s="76"/>
      <c r="T20" s="76"/>
      <c r="U20" s="76"/>
      <c r="V20" s="77"/>
      <c r="W20" s="6"/>
      <c r="X20" s="6"/>
      <c r="Y20"/>
    </row>
    <row r="21" spans="2:26" ht="17" x14ac:dyDescent="0.45">
      <c r="B21" s="47"/>
      <c r="C21" s="22" t="s">
        <v>9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39"/>
      <c r="O21" s="39"/>
      <c r="Q21" s="40"/>
      <c r="R21" s="75"/>
      <c r="S21" s="76"/>
      <c r="T21" s="76"/>
      <c r="U21" s="76"/>
      <c r="V21" s="77"/>
      <c r="W21" s="6"/>
      <c r="X21" s="6"/>
      <c r="Y21"/>
      <c r="Z21"/>
    </row>
    <row r="22" spans="2:26" ht="17" x14ac:dyDescent="0.45">
      <c r="B22" s="47"/>
      <c r="C22" s="22" t="s">
        <v>10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39"/>
      <c r="O22" s="39"/>
      <c r="Q22" s="40"/>
      <c r="R22" s="75"/>
      <c r="S22" s="76"/>
      <c r="T22" s="76"/>
      <c r="U22" s="76"/>
      <c r="V22" s="77"/>
      <c r="W22" s="6"/>
      <c r="X22" s="6"/>
      <c r="Y22"/>
      <c r="Z22"/>
    </row>
    <row r="23" spans="2:26" ht="17" x14ac:dyDescent="0.45">
      <c r="B23" s="47"/>
      <c r="C23" s="22" t="s">
        <v>17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39"/>
      <c r="O23" s="39"/>
      <c r="Q23" s="40"/>
      <c r="R23" s="75"/>
      <c r="S23" s="76"/>
      <c r="T23" s="76"/>
      <c r="U23" s="76"/>
      <c r="V23" s="77"/>
      <c r="W23" s="6"/>
      <c r="X23" s="6"/>
      <c r="Y23"/>
      <c r="Z23"/>
    </row>
    <row r="24" spans="2:26" ht="17" x14ac:dyDescent="0.45">
      <c r="B24" s="47"/>
      <c r="C24" s="22" t="s">
        <v>19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39"/>
      <c r="O24" s="39"/>
      <c r="Q24" s="40"/>
      <c r="R24" s="75"/>
      <c r="S24" s="76"/>
      <c r="T24" s="76"/>
      <c r="U24" s="76"/>
      <c r="V24" s="77"/>
      <c r="W24" s="6"/>
      <c r="X24" s="6"/>
      <c r="Y24"/>
      <c r="Z24"/>
    </row>
    <row r="25" spans="2:26" ht="17" x14ac:dyDescent="0.45">
      <c r="B25" s="47"/>
      <c r="C25" s="22" t="s">
        <v>20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39"/>
      <c r="O25" s="39"/>
      <c r="Q25" s="40"/>
      <c r="R25" s="75"/>
      <c r="S25" s="76"/>
      <c r="T25" s="76"/>
      <c r="U25" s="76"/>
      <c r="V25" s="77"/>
      <c r="W25" s="6"/>
      <c r="X25" s="6"/>
      <c r="Y25"/>
      <c r="Z25"/>
    </row>
    <row r="26" spans="2:26" ht="17" x14ac:dyDescent="0.45">
      <c r="B26" s="47"/>
      <c r="C26" s="22" t="s">
        <v>21</v>
      </c>
      <c r="D26" s="6"/>
      <c r="E26" s="6"/>
      <c r="F26" s="6"/>
      <c r="G26" s="6"/>
      <c r="H26" s="6"/>
      <c r="I26" s="6"/>
      <c r="J26" s="6"/>
      <c r="K26" s="6"/>
      <c r="L26" s="6"/>
      <c r="M26" s="6"/>
      <c r="N26" s="39"/>
      <c r="O26" s="39"/>
      <c r="Q26" s="40"/>
      <c r="R26" s="75"/>
      <c r="S26" s="76"/>
      <c r="T26" s="76"/>
      <c r="U26" s="76"/>
      <c r="V26" s="77"/>
      <c r="W26" s="6"/>
      <c r="X26" s="6"/>
      <c r="Y26"/>
      <c r="Z26"/>
    </row>
    <row r="27" spans="2:26" ht="17" x14ac:dyDescent="0.45">
      <c r="B27" s="47"/>
      <c r="C27" s="22" t="s">
        <v>22</v>
      </c>
      <c r="D27" s="6"/>
      <c r="E27" s="6"/>
      <c r="F27" s="6"/>
      <c r="G27" s="6"/>
      <c r="H27" s="6"/>
      <c r="I27" s="6"/>
      <c r="J27" s="6"/>
      <c r="K27" s="6"/>
      <c r="L27" s="6"/>
      <c r="M27" s="6"/>
      <c r="N27" s="39"/>
      <c r="O27" s="39"/>
      <c r="Q27" s="40"/>
      <c r="R27" s="75"/>
      <c r="S27" s="76"/>
      <c r="T27" s="76"/>
      <c r="U27" s="76"/>
      <c r="V27" s="77"/>
      <c r="W27" s="6"/>
      <c r="X27" s="6"/>
      <c r="Y27"/>
      <c r="Z27"/>
    </row>
    <row r="28" spans="2:26" ht="17" x14ac:dyDescent="0.45">
      <c r="B28" s="54" t="s">
        <v>75</v>
      </c>
      <c r="C28" s="22" t="s">
        <v>28</v>
      </c>
      <c r="D28" s="6"/>
      <c r="E28" s="6"/>
      <c r="F28" s="6"/>
      <c r="G28" s="6"/>
      <c r="H28" s="6"/>
      <c r="I28" s="6"/>
      <c r="J28" s="6"/>
      <c r="K28" s="6">
        <v>1</v>
      </c>
      <c r="L28" s="6"/>
      <c r="M28" s="6"/>
      <c r="N28" s="39"/>
      <c r="O28" s="39"/>
      <c r="Q28" s="40"/>
      <c r="R28" s="75"/>
      <c r="S28" s="76"/>
      <c r="T28" s="76"/>
      <c r="U28" s="76"/>
      <c r="V28" s="77"/>
      <c r="W28" s="6"/>
      <c r="X28" s="6"/>
      <c r="Y28"/>
      <c r="Z28"/>
    </row>
    <row r="29" spans="2:26" x14ac:dyDescent="0.45">
      <c r="B29" s="47"/>
      <c r="C29" s="22" t="s">
        <v>29</v>
      </c>
      <c r="D29" s="6"/>
      <c r="E29" s="6"/>
      <c r="F29" s="6"/>
      <c r="G29" s="6"/>
      <c r="H29" s="6"/>
      <c r="I29" s="6"/>
      <c r="J29" s="6"/>
      <c r="K29" s="6"/>
      <c r="L29" s="6"/>
      <c r="M29" s="6"/>
      <c r="N29" s="39"/>
      <c r="O29" s="39"/>
    </row>
    <row r="30" spans="2:26" ht="18" thickBot="1" x14ac:dyDescent="0.5"/>
    <row r="31" spans="2:26" ht="18" thickBot="1" x14ac:dyDescent="0.5">
      <c r="C31" s="9" t="s">
        <v>30</v>
      </c>
      <c r="D31" s="69"/>
      <c r="E31" s="71"/>
      <c r="G31" s="9" t="s">
        <v>30</v>
      </c>
      <c r="H31" s="69"/>
      <c r="I31" s="71"/>
      <c r="K31" s="9" t="s">
        <v>30</v>
      </c>
      <c r="L31" s="69"/>
      <c r="M31" s="71"/>
      <c r="Q31" s="28"/>
      <c r="R31" s="67" t="s">
        <v>41</v>
      </c>
      <c r="S31" s="67"/>
      <c r="T31" s="67"/>
      <c r="U31" s="67"/>
    </row>
    <row r="32" spans="2:26" x14ac:dyDescent="0.45">
      <c r="C32" s="37" t="s">
        <v>1</v>
      </c>
      <c r="D32" s="8" t="s">
        <v>5</v>
      </c>
      <c r="E32" s="38" t="s">
        <v>23</v>
      </c>
      <c r="G32" s="37" t="s">
        <v>1</v>
      </c>
      <c r="H32" s="8" t="s">
        <v>5</v>
      </c>
      <c r="I32" s="38" t="s">
        <v>23</v>
      </c>
      <c r="K32" s="37" t="s">
        <v>1</v>
      </c>
      <c r="L32" s="8" t="s">
        <v>5</v>
      </c>
      <c r="M32" s="38" t="s">
        <v>23</v>
      </c>
      <c r="Q32" s="28"/>
      <c r="R32" s="30" t="s">
        <v>27</v>
      </c>
      <c r="S32" s="30" t="s">
        <v>47</v>
      </c>
      <c r="T32" s="30" t="s">
        <v>42</v>
      </c>
      <c r="U32" s="31" t="s">
        <v>23</v>
      </c>
    </row>
    <row r="33" spans="2:21" s="28" customFormat="1" x14ac:dyDescent="0.45">
      <c r="B33" s="1"/>
      <c r="C33" s="48" t="s">
        <v>2</v>
      </c>
      <c r="D33" s="3"/>
      <c r="E33" s="34">
        <f>SUM($D$36)*5</f>
        <v>0</v>
      </c>
      <c r="F33"/>
      <c r="G33" s="48" t="s">
        <v>2</v>
      </c>
      <c r="H33" s="3"/>
      <c r="I33" s="34">
        <f>SUM($H$36)*5</f>
        <v>0</v>
      </c>
      <c r="J33"/>
      <c r="K33" s="45" t="s">
        <v>2</v>
      </c>
      <c r="L33" s="3">
        <v>30</v>
      </c>
      <c r="M33" s="34">
        <f>SUM($L$36)*5</f>
        <v>30</v>
      </c>
      <c r="N33"/>
      <c r="O33"/>
      <c r="P33"/>
      <c r="Q33" s="32" t="s">
        <v>48</v>
      </c>
      <c r="R33" s="33"/>
      <c r="S33" s="33">
        <f>U15</f>
        <v>0</v>
      </c>
      <c r="T33" s="33"/>
      <c r="U33" s="33"/>
    </row>
    <row r="34" spans="2:21" s="28" customFormat="1" x14ac:dyDescent="0.45">
      <c r="B34" s="1"/>
      <c r="C34" s="48" t="s">
        <v>6</v>
      </c>
      <c r="D34" s="3"/>
      <c r="E34" s="34">
        <f>SUM($D$36)*5</f>
        <v>0</v>
      </c>
      <c r="F34"/>
      <c r="G34" s="48" t="s">
        <v>6</v>
      </c>
      <c r="H34" s="3"/>
      <c r="I34" s="34">
        <f>SUM($H$36)*5</f>
        <v>0</v>
      </c>
      <c r="J34"/>
      <c r="K34" s="45" t="s">
        <v>6</v>
      </c>
      <c r="L34" s="3">
        <v>30</v>
      </c>
      <c r="M34" s="34">
        <f>SUM($L$36)*5</f>
        <v>30</v>
      </c>
      <c r="N34"/>
      <c r="O34"/>
      <c r="P34"/>
      <c r="Q34" s="33" t="s">
        <v>49</v>
      </c>
      <c r="R34" s="33"/>
      <c r="S34" s="33"/>
      <c r="T34" s="33">
        <f>U15</f>
        <v>0</v>
      </c>
      <c r="U34" s="33"/>
    </row>
    <row r="35" spans="2:21" s="28" customFormat="1" x14ac:dyDescent="0.45">
      <c r="B35" s="1"/>
      <c r="C35" s="48" t="s">
        <v>3</v>
      </c>
      <c r="D35" s="3"/>
      <c r="E35" s="34">
        <f>SUM(D35)</f>
        <v>0</v>
      </c>
      <c r="F35"/>
      <c r="G35" s="48" t="s">
        <v>3</v>
      </c>
      <c r="H35" s="3"/>
      <c r="I35" s="34">
        <f>SUM(H35)</f>
        <v>0</v>
      </c>
      <c r="J35"/>
      <c r="K35" s="45" t="s">
        <v>3</v>
      </c>
      <c r="L35" s="3">
        <v>6</v>
      </c>
      <c r="M35" s="34">
        <f>SUM(L35)</f>
        <v>6</v>
      </c>
      <c r="N35"/>
      <c r="O35"/>
      <c r="P35"/>
      <c r="Q35"/>
      <c r="R35"/>
      <c r="S35"/>
      <c r="T35"/>
      <c r="U35"/>
    </row>
    <row r="36" spans="2:21" s="28" customFormat="1" x14ac:dyDescent="0.45">
      <c r="B36" s="1"/>
      <c r="C36" s="48" t="s">
        <v>88</v>
      </c>
      <c r="D36" s="3"/>
      <c r="E36" s="34">
        <f t="shared" ref="E36:E42" si="13">SUM(D36)</f>
        <v>0</v>
      </c>
      <c r="F36"/>
      <c r="G36" s="48" t="s">
        <v>88</v>
      </c>
      <c r="H36" s="3"/>
      <c r="I36" s="34">
        <f t="shared" ref="I36:I42" si="14">SUM(H36)</f>
        <v>0</v>
      </c>
      <c r="J36"/>
      <c r="K36" s="45" t="s">
        <v>88</v>
      </c>
      <c r="L36" s="3">
        <v>6</v>
      </c>
      <c r="M36" s="34">
        <f t="shared" ref="M36:M42" si="15">SUM(L36)</f>
        <v>6</v>
      </c>
      <c r="N36"/>
      <c r="O36"/>
      <c r="P36"/>
      <c r="Q36"/>
      <c r="R36"/>
      <c r="S36"/>
      <c r="T36"/>
      <c r="U36"/>
    </row>
    <row r="37" spans="2:21" s="28" customFormat="1" x14ac:dyDescent="0.45">
      <c r="B37" s="1"/>
      <c r="C37" s="48" t="s">
        <v>11</v>
      </c>
      <c r="D37" s="3"/>
      <c r="E37" s="34">
        <f t="shared" si="13"/>
        <v>0</v>
      </c>
      <c r="F37"/>
      <c r="G37" s="48" t="s">
        <v>11</v>
      </c>
      <c r="H37" s="3"/>
      <c r="I37" s="34">
        <f t="shared" si="14"/>
        <v>0</v>
      </c>
      <c r="J37"/>
      <c r="K37" s="45" t="s">
        <v>11</v>
      </c>
      <c r="L37" s="3">
        <v>6</v>
      </c>
      <c r="M37" s="34">
        <f t="shared" si="15"/>
        <v>6</v>
      </c>
      <c r="N37"/>
      <c r="O37"/>
      <c r="P37"/>
      <c r="Q37"/>
      <c r="R37"/>
      <c r="S37"/>
      <c r="T37"/>
      <c r="U37"/>
    </row>
    <row r="38" spans="2:21" s="28" customFormat="1" x14ac:dyDescent="0.45">
      <c r="B38" s="1"/>
      <c r="C38" s="48" t="s">
        <v>12</v>
      </c>
      <c r="D38" s="3"/>
      <c r="E38" s="34">
        <f t="shared" si="13"/>
        <v>0</v>
      </c>
      <c r="F38"/>
      <c r="G38" s="48" t="s">
        <v>12</v>
      </c>
      <c r="H38" s="3"/>
      <c r="I38" s="34">
        <f t="shared" si="14"/>
        <v>0</v>
      </c>
      <c r="J38"/>
      <c r="K38" s="45" t="s">
        <v>12</v>
      </c>
      <c r="L38" s="3">
        <v>6</v>
      </c>
      <c r="M38" s="34">
        <f t="shared" si="15"/>
        <v>6</v>
      </c>
      <c r="N38"/>
      <c r="O38"/>
      <c r="P38"/>
      <c r="Q38"/>
      <c r="R38"/>
      <c r="S38"/>
      <c r="T38"/>
      <c r="U38"/>
    </row>
    <row r="39" spans="2:21" s="28" customFormat="1" x14ac:dyDescent="0.45">
      <c r="B39" s="1"/>
      <c r="C39" s="48" t="s">
        <v>13</v>
      </c>
      <c r="D39" s="3"/>
      <c r="E39" s="34">
        <f t="shared" si="13"/>
        <v>0</v>
      </c>
      <c r="F39"/>
      <c r="G39" s="48" t="s">
        <v>13</v>
      </c>
      <c r="H39" s="3"/>
      <c r="I39" s="34">
        <f t="shared" si="14"/>
        <v>0</v>
      </c>
      <c r="J39"/>
      <c r="K39" s="45" t="s">
        <v>13</v>
      </c>
      <c r="L39" s="3">
        <v>6</v>
      </c>
      <c r="M39" s="34">
        <f t="shared" si="15"/>
        <v>6</v>
      </c>
      <c r="N39"/>
      <c r="O39"/>
      <c r="P39"/>
      <c r="Q39"/>
      <c r="R39"/>
      <c r="S39"/>
      <c r="T39"/>
      <c r="U39"/>
    </row>
    <row r="40" spans="2:21" s="28" customFormat="1" x14ac:dyDescent="0.45">
      <c r="B40" s="1"/>
      <c r="C40" s="48" t="s">
        <v>14</v>
      </c>
      <c r="D40" s="3"/>
      <c r="E40" s="34">
        <f t="shared" si="13"/>
        <v>0</v>
      </c>
      <c r="F40"/>
      <c r="G40" s="48" t="s">
        <v>14</v>
      </c>
      <c r="H40" s="3"/>
      <c r="I40" s="34">
        <f t="shared" si="14"/>
        <v>0</v>
      </c>
      <c r="J40"/>
      <c r="K40" s="45" t="s">
        <v>14</v>
      </c>
      <c r="L40" s="3">
        <v>6</v>
      </c>
      <c r="M40" s="34">
        <f t="shared" si="15"/>
        <v>6</v>
      </c>
      <c r="N40"/>
      <c r="O40"/>
      <c r="P40"/>
      <c r="Q40"/>
      <c r="R40"/>
      <c r="S40"/>
      <c r="T40"/>
      <c r="U40"/>
    </row>
    <row r="41" spans="2:21" s="28" customFormat="1" x14ac:dyDescent="0.45">
      <c r="B41" s="1"/>
      <c r="C41" s="48" t="s">
        <v>15</v>
      </c>
      <c r="D41" s="3"/>
      <c r="E41" s="34">
        <f t="shared" si="13"/>
        <v>0</v>
      </c>
      <c r="F41"/>
      <c r="G41" s="48" t="s">
        <v>15</v>
      </c>
      <c r="H41" s="3"/>
      <c r="I41" s="34">
        <f t="shared" si="14"/>
        <v>0</v>
      </c>
      <c r="J41"/>
      <c r="K41" s="45" t="s">
        <v>15</v>
      </c>
      <c r="L41" s="3">
        <v>6</v>
      </c>
      <c r="M41" s="34">
        <f t="shared" si="15"/>
        <v>6</v>
      </c>
      <c r="N41"/>
      <c r="O41"/>
      <c r="P41"/>
      <c r="Q41"/>
      <c r="R41"/>
      <c r="S41"/>
      <c r="T41"/>
      <c r="U41"/>
    </row>
    <row r="42" spans="2:21" s="28" customFormat="1" ht="18" thickBot="1" x14ac:dyDescent="0.5">
      <c r="B42" s="1"/>
      <c r="C42" s="49" t="s">
        <v>27</v>
      </c>
      <c r="D42" s="35"/>
      <c r="E42" s="36">
        <f t="shared" si="13"/>
        <v>0</v>
      </c>
      <c r="F42"/>
      <c r="G42" s="49" t="s">
        <v>27</v>
      </c>
      <c r="H42" s="35"/>
      <c r="I42" s="36">
        <f t="shared" si="14"/>
        <v>0</v>
      </c>
      <c r="J42"/>
      <c r="K42" s="46" t="s">
        <v>27</v>
      </c>
      <c r="L42" s="35" t="s">
        <v>24</v>
      </c>
      <c r="M42" s="36">
        <f t="shared" si="15"/>
        <v>0</v>
      </c>
      <c r="N42"/>
      <c r="O42"/>
      <c r="P42"/>
      <c r="Q42"/>
      <c r="R42"/>
      <c r="S42"/>
      <c r="T42"/>
      <c r="U42"/>
    </row>
    <row r="43" spans="2:21" s="28" customFormat="1" ht="18" thickBot="1" x14ac:dyDescent="0.5">
      <c r="B43" s="1"/>
      <c r="C43" s="1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</row>
    <row r="44" spans="2:21" s="28" customFormat="1" ht="18" thickBot="1" x14ac:dyDescent="0.5">
      <c r="B44" s="1"/>
      <c r="C44" s="9" t="s">
        <v>50</v>
      </c>
      <c r="D44" s="69" t="s">
        <v>80</v>
      </c>
      <c r="E44" s="71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</row>
    <row r="45" spans="2:21" s="28" customFormat="1" ht="17.5" customHeight="1" x14ac:dyDescent="0.45">
      <c r="B45" s="1"/>
      <c r="C45" s="37" t="s">
        <v>1</v>
      </c>
      <c r="D45" s="8" t="s">
        <v>5</v>
      </c>
      <c r="E45" s="38" t="s">
        <v>23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</row>
    <row r="46" spans="2:21" s="28" customFormat="1" ht="17.5" customHeight="1" x14ac:dyDescent="0.45">
      <c r="B46" s="1"/>
      <c r="C46" s="48" t="s">
        <v>2</v>
      </c>
      <c r="D46" s="3">
        <v>40</v>
      </c>
      <c r="E46" s="34">
        <f>SUM($L$36)*5</f>
        <v>30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</row>
    <row r="47" spans="2:21" s="28" customFormat="1" x14ac:dyDescent="0.45">
      <c r="B47" s="1"/>
      <c r="C47" s="48" t="s">
        <v>6</v>
      </c>
      <c r="D47" s="3">
        <v>30</v>
      </c>
      <c r="E47" s="34">
        <f>SUM($L$36)*5</f>
        <v>30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</row>
    <row r="48" spans="2:21" s="28" customFormat="1" x14ac:dyDescent="0.45">
      <c r="B48" s="1"/>
      <c r="C48" s="48" t="s">
        <v>3</v>
      </c>
      <c r="D48" s="3">
        <v>8</v>
      </c>
      <c r="E48" s="34">
        <f t="shared" ref="E48:E55" si="16">SUM(D48)</f>
        <v>8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</row>
    <row r="49" spans="2:21" s="28" customFormat="1" x14ac:dyDescent="0.45">
      <c r="B49" s="1"/>
      <c r="C49" s="48" t="s">
        <v>88</v>
      </c>
      <c r="D49" s="3">
        <v>7</v>
      </c>
      <c r="E49" s="34">
        <f t="shared" si="16"/>
        <v>7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</row>
    <row r="50" spans="2:21" s="28" customFormat="1" x14ac:dyDescent="0.45">
      <c r="B50" s="1"/>
      <c r="C50" s="48" t="s">
        <v>11</v>
      </c>
      <c r="D50" s="3">
        <v>4</v>
      </c>
      <c r="E50" s="34">
        <f t="shared" si="16"/>
        <v>4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</row>
    <row r="51" spans="2:21" s="28" customFormat="1" x14ac:dyDescent="0.45">
      <c r="B51" s="1"/>
      <c r="C51" s="48" t="s">
        <v>12</v>
      </c>
      <c r="D51" s="3">
        <v>5</v>
      </c>
      <c r="E51" s="34">
        <f t="shared" si="16"/>
        <v>5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</row>
    <row r="52" spans="2:21" s="28" customFormat="1" x14ac:dyDescent="0.45">
      <c r="B52" s="1"/>
      <c r="C52" s="48" t="s">
        <v>13</v>
      </c>
      <c r="D52" s="3">
        <v>3</v>
      </c>
      <c r="E52" s="34">
        <f t="shared" si="16"/>
        <v>3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</row>
    <row r="53" spans="2:21" s="28" customFormat="1" x14ac:dyDescent="0.45">
      <c r="B53" s="1"/>
      <c r="C53" s="48" t="s">
        <v>14</v>
      </c>
      <c r="D53" s="3">
        <v>2</v>
      </c>
      <c r="E53" s="34">
        <f t="shared" si="16"/>
        <v>2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</row>
    <row r="54" spans="2:21" s="28" customFormat="1" x14ac:dyDescent="0.45">
      <c r="B54" s="1"/>
      <c r="C54" s="48" t="s">
        <v>15</v>
      </c>
      <c r="D54" s="3">
        <v>4</v>
      </c>
      <c r="E54" s="34">
        <f t="shared" si="16"/>
        <v>4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</row>
    <row r="55" spans="2:21" s="28" customFormat="1" ht="18" thickBot="1" x14ac:dyDescent="0.5">
      <c r="B55" s="1"/>
      <c r="C55" s="49" t="s">
        <v>27</v>
      </c>
      <c r="D55" s="35" t="s">
        <v>24</v>
      </c>
      <c r="E55" s="36">
        <f t="shared" si="16"/>
        <v>0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</row>
    <row r="56" spans="2:21" s="28" customFormat="1" x14ac:dyDescent="0.45">
      <c r="B56" s="1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</row>
    <row r="57" spans="2:21" s="28" customFormat="1" x14ac:dyDescent="0.45">
      <c r="B57" s="1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</row>
  </sheetData>
  <mergeCells count="23">
    <mergeCell ref="D4:O5"/>
    <mergeCell ref="D2:I2"/>
    <mergeCell ref="J2:M2"/>
    <mergeCell ref="N2:O2"/>
    <mergeCell ref="Q2:Q3"/>
    <mergeCell ref="S2:U2"/>
    <mergeCell ref="R28:V28"/>
    <mergeCell ref="R17:V17"/>
    <mergeCell ref="R18:V18"/>
    <mergeCell ref="R19:V19"/>
    <mergeCell ref="R20:V20"/>
    <mergeCell ref="R21:V21"/>
    <mergeCell ref="R22:V22"/>
    <mergeCell ref="R23:V23"/>
    <mergeCell ref="R24:V24"/>
    <mergeCell ref="R25:V25"/>
    <mergeCell ref="R26:V26"/>
    <mergeCell ref="R27:V27"/>
    <mergeCell ref="D31:E31"/>
    <mergeCell ref="H31:I31"/>
    <mergeCell ref="L31:M31"/>
    <mergeCell ref="R31:U31"/>
    <mergeCell ref="D44:E44"/>
  </mergeCells>
  <phoneticPr fontId="6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Z57"/>
  <sheetViews>
    <sheetView tabSelected="1" zoomScale="70" zoomScaleNormal="70" workbookViewId="0">
      <selection activeCell="B32" sqref="B32"/>
    </sheetView>
  </sheetViews>
  <sheetFormatPr defaultRowHeight="17.5" x14ac:dyDescent="0.45"/>
  <cols>
    <col min="1" max="1" width="2.75" customWidth="1"/>
    <col min="2" max="2" width="41.6640625" style="1" customWidth="1"/>
    <col min="3" max="15" width="8.58203125" customWidth="1"/>
    <col min="16" max="16" width="16.25" customWidth="1"/>
    <col min="17" max="17" width="20.58203125" customWidth="1"/>
    <col min="18" max="19" width="8.58203125" customWidth="1"/>
    <col min="20" max="20" width="12.58203125" customWidth="1"/>
    <col min="22" max="22" width="12.58203125" style="28" customWidth="1"/>
    <col min="23" max="26" width="8.58203125" style="28" customWidth="1"/>
  </cols>
  <sheetData>
    <row r="1" spans="2:21" ht="18" thickBot="1" x14ac:dyDescent="0.5"/>
    <row r="2" spans="2:21" ht="30.5" thickBot="1" x14ac:dyDescent="0.5">
      <c r="B2" s="19" t="s">
        <v>0</v>
      </c>
      <c r="C2" s="64" t="s">
        <v>86</v>
      </c>
      <c r="D2" s="74" t="s">
        <v>4</v>
      </c>
      <c r="E2" s="65"/>
      <c r="F2" s="65"/>
      <c r="G2" s="65"/>
      <c r="H2" s="65"/>
      <c r="I2" s="66"/>
      <c r="J2" s="74" t="s">
        <v>18</v>
      </c>
      <c r="K2" s="65"/>
      <c r="L2" s="65"/>
      <c r="M2" s="66"/>
      <c r="N2" s="74" t="s">
        <v>25</v>
      </c>
      <c r="O2" s="66"/>
      <c r="P2" s="17" t="s">
        <v>34</v>
      </c>
      <c r="Q2" s="72" t="s">
        <v>1</v>
      </c>
      <c r="R2" s="2"/>
      <c r="S2" s="65" t="s">
        <v>31</v>
      </c>
      <c r="T2" s="65"/>
      <c r="U2" s="66"/>
    </row>
    <row r="3" spans="2:21" ht="30.5" thickBot="1" x14ac:dyDescent="0.5">
      <c r="B3" s="20" t="s">
        <v>1</v>
      </c>
      <c r="C3" s="8" t="s">
        <v>5</v>
      </c>
      <c r="D3" s="24" t="s">
        <v>7</v>
      </c>
      <c r="E3" s="24" t="s">
        <v>16</v>
      </c>
      <c r="F3" s="24" t="s">
        <v>8</v>
      </c>
      <c r="G3" s="24" t="s">
        <v>9</v>
      </c>
      <c r="H3" s="24" t="s">
        <v>10</v>
      </c>
      <c r="I3" s="24" t="s">
        <v>17</v>
      </c>
      <c r="J3" s="5" t="s">
        <v>19</v>
      </c>
      <c r="K3" s="5" t="s">
        <v>20</v>
      </c>
      <c r="L3" s="5" t="s">
        <v>21</v>
      </c>
      <c r="M3" s="5" t="s">
        <v>22</v>
      </c>
      <c r="N3" s="5" t="s">
        <v>25</v>
      </c>
      <c r="O3" s="5" t="s">
        <v>26</v>
      </c>
      <c r="P3" s="7" t="s">
        <v>35</v>
      </c>
      <c r="Q3" s="73"/>
      <c r="R3" s="50" t="s">
        <v>23</v>
      </c>
      <c r="S3" s="15" t="s">
        <v>32</v>
      </c>
      <c r="T3" s="15" t="s">
        <v>33</v>
      </c>
      <c r="U3" s="16" t="s">
        <v>72</v>
      </c>
    </row>
    <row r="4" spans="2:21" ht="18.5" thickTop="1" thickBot="1" x14ac:dyDescent="0.5">
      <c r="B4" s="41" t="s">
        <v>2</v>
      </c>
      <c r="C4" s="3">
        <v>30</v>
      </c>
      <c r="D4" s="68"/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  <c r="P4" s="21" t="s">
        <v>83</v>
      </c>
      <c r="Q4" s="51" t="s">
        <v>2</v>
      </c>
      <c r="R4" s="27">
        <f>SUM($C$7:$M$7)*5</f>
        <v>30</v>
      </c>
      <c r="S4" s="25"/>
      <c r="T4" s="25"/>
      <c r="U4" s="27">
        <f t="shared" ref="U4:U5" si="0">R4+S4-T4</f>
        <v>30</v>
      </c>
    </row>
    <row r="5" spans="2:21" ht="18.5" thickTop="1" thickBot="1" x14ac:dyDescent="0.5">
      <c r="B5" s="41" t="s">
        <v>6</v>
      </c>
      <c r="C5" s="3">
        <v>30</v>
      </c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21">
        <f>INT(3+(R10/5))</f>
        <v>4</v>
      </c>
      <c r="Q5" s="41" t="s">
        <v>6</v>
      </c>
      <c r="R5" s="27">
        <f>SUM($C$7:$M$7)*5</f>
        <v>30</v>
      </c>
      <c r="S5" s="26"/>
      <c r="T5" s="26"/>
      <c r="U5" s="27">
        <f t="shared" si="0"/>
        <v>30</v>
      </c>
    </row>
    <row r="6" spans="2:21" ht="18" thickTop="1" x14ac:dyDescent="0.45">
      <c r="B6" s="41" t="s">
        <v>3</v>
      </c>
      <c r="C6" s="3">
        <v>6</v>
      </c>
      <c r="D6" s="12">
        <f t="shared" ref="D6:O6" si="1">INDEX($D:$D, COLUMN(A1)+17)</f>
        <v>0</v>
      </c>
      <c r="E6" s="12">
        <f t="shared" si="1"/>
        <v>0</v>
      </c>
      <c r="F6" s="12">
        <f t="shared" si="1"/>
        <v>0</v>
      </c>
      <c r="G6" s="12">
        <f t="shared" si="1"/>
        <v>0</v>
      </c>
      <c r="H6" s="12">
        <f t="shared" si="1"/>
        <v>0</v>
      </c>
      <c r="I6" s="12">
        <f t="shared" si="1"/>
        <v>0</v>
      </c>
      <c r="J6" s="12">
        <f t="shared" si="1"/>
        <v>0</v>
      </c>
      <c r="K6" s="12">
        <f t="shared" si="1"/>
        <v>0</v>
      </c>
      <c r="L6" s="12">
        <f t="shared" si="1"/>
        <v>0</v>
      </c>
      <c r="M6" s="12">
        <f t="shared" si="1"/>
        <v>0</v>
      </c>
      <c r="N6" s="12">
        <f t="shared" si="1"/>
        <v>0</v>
      </c>
      <c r="O6" s="12">
        <f t="shared" si="1"/>
        <v>0</v>
      </c>
      <c r="P6" s="3"/>
      <c r="Q6" s="41" t="s">
        <v>3</v>
      </c>
      <c r="R6" s="27">
        <f t="shared" ref="R6:R15" si="2">SUM(C6:P6)</f>
        <v>6</v>
      </c>
      <c r="S6" s="26"/>
      <c r="T6" s="26"/>
      <c r="U6" s="27">
        <f>R6+S6-T6</f>
        <v>6</v>
      </c>
    </row>
    <row r="7" spans="2:21" x14ac:dyDescent="0.45">
      <c r="B7" s="41" t="s">
        <v>88</v>
      </c>
      <c r="C7" s="3">
        <v>6</v>
      </c>
      <c r="D7" s="3">
        <f>INDEX($E:$E, COLUMN(A1)+17)</f>
        <v>0</v>
      </c>
      <c r="E7" s="3">
        <f t="shared" ref="E7:O7" si="3">INDEX($E:$E, COLUMN(B1)+17)</f>
        <v>0</v>
      </c>
      <c r="F7" s="3">
        <f t="shared" si="3"/>
        <v>0</v>
      </c>
      <c r="G7" s="3">
        <f t="shared" si="3"/>
        <v>0</v>
      </c>
      <c r="H7" s="3">
        <f t="shared" si="3"/>
        <v>0</v>
      </c>
      <c r="I7" s="3">
        <f t="shared" si="3"/>
        <v>0</v>
      </c>
      <c r="J7" s="3">
        <f t="shared" si="3"/>
        <v>0</v>
      </c>
      <c r="K7" s="3">
        <f t="shared" si="3"/>
        <v>0</v>
      </c>
      <c r="L7" s="3">
        <f t="shared" si="3"/>
        <v>0</v>
      </c>
      <c r="M7" s="3">
        <f t="shared" si="3"/>
        <v>0</v>
      </c>
      <c r="N7" s="3">
        <f t="shared" si="3"/>
        <v>0</v>
      </c>
      <c r="O7" s="3">
        <f t="shared" si="3"/>
        <v>0</v>
      </c>
      <c r="P7" s="3"/>
      <c r="Q7" s="41" t="s">
        <v>88</v>
      </c>
      <c r="R7" s="27">
        <f t="shared" si="2"/>
        <v>6</v>
      </c>
      <c r="S7" s="26"/>
      <c r="T7" s="26"/>
      <c r="U7" s="27">
        <f t="shared" ref="U7:U15" si="4">R7+S7-T7</f>
        <v>6</v>
      </c>
    </row>
    <row r="8" spans="2:21" x14ac:dyDescent="0.45">
      <c r="B8" s="41" t="s">
        <v>11</v>
      </c>
      <c r="C8" s="3">
        <v>6</v>
      </c>
      <c r="D8" s="3">
        <f>INDEX($F:$F, COLUMN(A1)+17)</f>
        <v>0</v>
      </c>
      <c r="E8" s="3">
        <f t="shared" ref="E8:O8" si="5">INDEX($F:$F, COLUMN(B1)+17)</f>
        <v>0</v>
      </c>
      <c r="F8" s="3">
        <f t="shared" si="5"/>
        <v>0</v>
      </c>
      <c r="G8" s="3">
        <f t="shared" si="5"/>
        <v>0</v>
      </c>
      <c r="H8" s="3">
        <f t="shared" si="5"/>
        <v>0</v>
      </c>
      <c r="I8" s="3">
        <f t="shared" si="5"/>
        <v>0</v>
      </c>
      <c r="J8" s="3">
        <f t="shared" si="5"/>
        <v>0</v>
      </c>
      <c r="K8" s="3">
        <f t="shared" si="5"/>
        <v>0</v>
      </c>
      <c r="L8" s="3">
        <f t="shared" si="5"/>
        <v>0</v>
      </c>
      <c r="M8" s="3">
        <f t="shared" si="5"/>
        <v>0</v>
      </c>
      <c r="N8" s="3">
        <f t="shared" si="5"/>
        <v>0</v>
      </c>
      <c r="O8" s="3">
        <f t="shared" si="5"/>
        <v>0</v>
      </c>
      <c r="P8" s="3"/>
      <c r="Q8" s="41" t="s">
        <v>11</v>
      </c>
      <c r="R8" s="27">
        <f t="shared" si="2"/>
        <v>6</v>
      </c>
      <c r="S8" s="26"/>
      <c r="T8" s="26"/>
      <c r="U8" s="27">
        <f t="shared" si="4"/>
        <v>6</v>
      </c>
    </row>
    <row r="9" spans="2:21" x14ac:dyDescent="0.45">
      <c r="B9" s="41" t="s">
        <v>12</v>
      </c>
      <c r="C9" s="3">
        <v>6</v>
      </c>
      <c r="D9" s="3">
        <f>INDEX($G:$G, COLUMN(A1)+17)</f>
        <v>0</v>
      </c>
      <c r="E9" s="3">
        <f t="shared" ref="E9:O9" si="6">INDEX($G:$G, COLUMN(B1)+17)</f>
        <v>0</v>
      </c>
      <c r="F9" s="3">
        <f t="shared" si="6"/>
        <v>0</v>
      </c>
      <c r="G9" s="3">
        <f t="shared" si="6"/>
        <v>0</v>
      </c>
      <c r="H9" s="3">
        <f t="shared" si="6"/>
        <v>0</v>
      </c>
      <c r="I9" s="3">
        <f t="shared" si="6"/>
        <v>0</v>
      </c>
      <c r="J9" s="3">
        <f t="shared" si="6"/>
        <v>0</v>
      </c>
      <c r="K9" s="3">
        <f t="shared" si="6"/>
        <v>0</v>
      </c>
      <c r="L9" s="3">
        <f t="shared" si="6"/>
        <v>0</v>
      </c>
      <c r="M9" s="3">
        <f t="shared" si="6"/>
        <v>0</v>
      </c>
      <c r="N9" s="3">
        <f t="shared" si="6"/>
        <v>0</v>
      </c>
      <c r="O9" s="3">
        <f t="shared" si="6"/>
        <v>0</v>
      </c>
      <c r="P9" s="3"/>
      <c r="Q9" s="41" t="s">
        <v>12</v>
      </c>
      <c r="R9" s="27">
        <f t="shared" si="2"/>
        <v>6</v>
      </c>
      <c r="S9" s="26"/>
      <c r="T9" s="26"/>
      <c r="U9" s="27">
        <f t="shared" si="4"/>
        <v>6</v>
      </c>
    </row>
    <row r="10" spans="2:21" x14ac:dyDescent="0.45">
      <c r="B10" s="41" t="s">
        <v>13</v>
      </c>
      <c r="C10" s="3">
        <v>6</v>
      </c>
      <c r="D10" s="3">
        <f>INDEX($H:$H, COLUMN(A$1)+17)</f>
        <v>0</v>
      </c>
      <c r="E10" s="3">
        <f t="shared" ref="E10:O10" si="7">INDEX($H:$H, COLUMN(B$1)+17)</f>
        <v>0</v>
      </c>
      <c r="F10" s="3">
        <f t="shared" si="7"/>
        <v>0</v>
      </c>
      <c r="G10" s="3">
        <f t="shared" si="7"/>
        <v>0</v>
      </c>
      <c r="H10" s="3">
        <f t="shared" si="7"/>
        <v>0</v>
      </c>
      <c r="I10" s="3">
        <f t="shared" si="7"/>
        <v>0</v>
      </c>
      <c r="J10" s="3">
        <f t="shared" si="7"/>
        <v>0</v>
      </c>
      <c r="K10" s="3">
        <f t="shared" si="7"/>
        <v>0</v>
      </c>
      <c r="L10" s="3">
        <f t="shared" si="7"/>
        <v>0</v>
      </c>
      <c r="M10" s="3">
        <f t="shared" si="7"/>
        <v>0</v>
      </c>
      <c r="N10" s="3">
        <f t="shared" si="7"/>
        <v>0</v>
      </c>
      <c r="O10" s="3">
        <f t="shared" si="7"/>
        <v>0</v>
      </c>
      <c r="P10" s="3"/>
      <c r="Q10" s="41" t="s">
        <v>13</v>
      </c>
      <c r="R10" s="27">
        <f t="shared" si="2"/>
        <v>6</v>
      </c>
      <c r="S10" s="26"/>
      <c r="T10" s="26"/>
      <c r="U10" s="27">
        <f t="shared" si="4"/>
        <v>6</v>
      </c>
    </row>
    <row r="11" spans="2:21" x14ac:dyDescent="0.45">
      <c r="B11" s="41" t="s">
        <v>14</v>
      </c>
      <c r="C11" s="3">
        <v>6</v>
      </c>
      <c r="D11" s="3">
        <f>INDEX($I:$I, COLUMN(A$1)+17)</f>
        <v>0</v>
      </c>
      <c r="E11" s="3">
        <f t="shared" ref="E11:O11" si="8">INDEX($I:$I, COLUMN(B$1)+17)</f>
        <v>0</v>
      </c>
      <c r="F11" s="3">
        <f t="shared" si="8"/>
        <v>0</v>
      </c>
      <c r="G11" s="3">
        <f t="shared" si="8"/>
        <v>0</v>
      </c>
      <c r="H11" s="3">
        <f t="shared" si="8"/>
        <v>0</v>
      </c>
      <c r="I11" s="3">
        <f t="shared" si="8"/>
        <v>0</v>
      </c>
      <c r="J11" s="3">
        <f t="shared" si="8"/>
        <v>0</v>
      </c>
      <c r="K11" s="3">
        <f t="shared" si="8"/>
        <v>0</v>
      </c>
      <c r="L11" s="3">
        <f t="shared" si="8"/>
        <v>0</v>
      </c>
      <c r="M11" s="3">
        <f t="shared" si="8"/>
        <v>0</v>
      </c>
      <c r="N11" s="3">
        <f t="shared" si="8"/>
        <v>0</v>
      </c>
      <c r="O11" s="3">
        <f t="shared" si="8"/>
        <v>0</v>
      </c>
      <c r="P11" s="3"/>
      <c r="Q11" s="41" t="s">
        <v>14</v>
      </c>
      <c r="R11" s="27">
        <f t="shared" si="2"/>
        <v>6</v>
      </c>
      <c r="S11" s="26"/>
      <c r="T11" s="26"/>
      <c r="U11" s="27">
        <f t="shared" si="4"/>
        <v>6</v>
      </c>
    </row>
    <row r="12" spans="2:21" x14ac:dyDescent="0.45">
      <c r="B12" s="41" t="s">
        <v>15</v>
      </c>
      <c r="C12" s="3">
        <v>6</v>
      </c>
      <c r="D12" s="3">
        <f>INDEX($J:$J, COLUMN(A$1)+17)</f>
        <v>0</v>
      </c>
      <c r="E12" s="3">
        <f t="shared" ref="E12:O12" si="9">INDEX($J:$J, COLUMN(B$1)+17)</f>
        <v>0</v>
      </c>
      <c r="F12" s="3">
        <f t="shared" si="9"/>
        <v>0</v>
      </c>
      <c r="G12" s="3">
        <f t="shared" si="9"/>
        <v>0</v>
      </c>
      <c r="H12" s="3">
        <f t="shared" si="9"/>
        <v>0</v>
      </c>
      <c r="I12" s="3">
        <f t="shared" si="9"/>
        <v>0</v>
      </c>
      <c r="J12" s="3">
        <f t="shared" si="9"/>
        <v>0</v>
      </c>
      <c r="K12" s="3">
        <f t="shared" si="9"/>
        <v>0</v>
      </c>
      <c r="L12" s="3">
        <f t="shared" si="9"/>
        <v>0</v>
      </c>
      <c r="M12" s="3">
        <f t="shared" si="9"/>
        <v>0</v>
      </c>
      <c r="N12" s="3">
        <f t="shared" si="9"/>
        <v>0</v>
      </c>
      <c r="O12" s="3">
        <f t="shared" si="9"/>
        <v>0</v>
      </c>
      <c r="P12" s="3"/>
      <c r="Q12" s="41" t="s">
        <v>15</v>
      </c>
      <c r="R12" s="27">
        <f t="shared" si="2"/>
        <v>6</v>
      </c>
      <c r="S12" s="26"/>
      <c r="T12" s="26"/>
      <c r="U12" s="27">
        <f t="shared" si="4"/>
        <v>6</v>
      </c>
    </row>
    <row r="13" spans="2:21" x14ac:dyDescent="0.45">
      <c r="B13" s="41" t="s">
        <v>27</v>
      </c>
      <c r="C13" s="10" t="s">
        <v>24</v>
      </c>
      <c r="D13" s="3">
        <f>INDEX($K:$K, COLUMN(A$1)+17)</f>
        <v>0</v>
      </c>
      <c r="E13" s="3">
        <f t="shared" ref="E13:O13" si="10">INDEX($K:$K, COLUMN(B$1)+17)</f>
        <v>0</v>
      </c>
      <c r="F13" s="3">
        <f t="shared" si="10"/>
        <v>0</v>
      </c>
      <c r="G13" s="3">
        <f t="shared" si="10"/>
        <v>0</v>
      </c>
      <c r="H13" s="3">
        <f t="shared" si="10"/>
        <v>0</v>
      </c>
      <c r="I13" s="3">
        <f t="shared" si="10"/>
        <v>0</v>
      </c>
      <c r="J13" s="3">
        <f t="shared" si="10"/>
        <v>0</v>
      </c>
      <c r="K13" s="3">
        <f t="shared" si="10"/>
        <v>0</v>
      </c>
      <c r="L13" s="3">
        <f t="shared" si="10"/>
        <v>0</v>
      </c>
      <c r="M13" s="3">
        <f t="shared" si="10"/>
        <v>0</v>
      </c>
      <c r="N13" s="3">
        <f t="shared" si="10"/>
        <v>1</v>
      </c>
      <c r="O13" s="3">
        <f t="shared" si="10"/>
        <v>0</v>
      </c>
      <c r="P13" s="3"/>
      <c r="Q13" s="41" t="s">
        <v>27</v>
      </c>
      <c r="R13" s="27">
        <f t="shared" si="2"/>
        <v>1</v>
      </c>
      <c r="S13" s="26"/>
      <c r="T13" s="26"/>
      <c r="U13" s="27">
        <f t="shared" si="4"/>
        <v>1</v>
      </c>
    </row>
    <row r="14" spans="2:21" x14ac:dyDescent="0.45">
      <c r="B14" s="41" t="s">
        <v>40</v>
      </c>
      <c r="C14" s="10" t="s">
        <v>24</v>
      </c>
      <c r="D14" s="3">
        <f>INDEX($L:$L, COLUMN(A$1)+17)</f>
        <v>0</v>
      </c>
      <c r="E14" s="3">
        <f t="shared" ref="E14:O14" si="11">INDEX($L:$L, COLUMN(B$1)+17)</f>
        <v>0</v>
      </c>
      <c r="F14" s="3">
        <f t="shared" si="11"/>
        <v>0</v>
      </c>
      <c r="G14" s="3">
        <f t="shared" si="11"/>
        <v>0</v>
      </c>
      <c r="H14" s="3">
        <f t="shared" si="11"/>
        <v>0</v>
      </c>
      <c r="I14" s="3">
        <f t="shared" si="11"/>
        <v>0</v>
      </c>
      <c r="J14" s="3">
        <f t="shared" si="11"/>
        <v>0</v>
      </c>
      <c r="K14" s="3">
        <f t="shared" si="11"/>
        <v>0</v>
      </c>
      <c r="L14" s="3">
        <f t="shared" si="11"/>
        <v>0</v>
      </c>
      <c r="M14" s="3">
        <f t="shared" si="11"/>
        <v>0</v>
      </c>
      <c r="N14" s="3">
        <f t="shared" si="11"/>
        <v>0</v>
      </c>
      <c r="O14" s="3">
        <f t="shared" si="11"/>
        <v>0</v>
      </c>
      <c r="P14" s="3" t="s">
        <v>24</v>
      </c>
      <c r="Q14" s="41" t="s">
        <v>40</v>
      </c>
      <c r="R14" s="27">
        <f t="shared" si="2"/>
        <v>0</v>
      </c>
      <c r="S14" s="26"/>
      <c r="T14" s="26"/>
      <c r="U14" s="27">
        <f t="shared" si="4"/>
        <v>0</v>
      </c>
    </row>
    <row r="15" spans="2:21" x14ac:dyDescent="0.45">
      <c r="B15" s="41" t="s">
        <v>42</v>
      </c>
      <c r="C15" s="3" t="s">
        <v>24</v>
      </c>
      <c r="D15" s="3">
        <f>INDEX($M:$M, COLUMN(A$1)+17)</f>
        <v>0</v>
      </c>
      <c r="E15" s="3">
        <f t="shared" ref="E15:O15" si="12">INDEX($M:$M, COLUMN(B$1)+17)</f>
        <v>0</v>
      </c>
      <c r="F15" s="3">
        <f t="shared" si="12"/>
        <v>0</v>
      </c>
      <c r="G15" s="3">
        <f t="shared" si="12"/>
        <v>0</v>
      </c>
      <c r="H15" s="3">
        <f t="shared" si="12"/>
        <v>0</v>
      </c>
      <c r="I15" s="3">
        <f t="shared" si="12"/>
        <v>0</v>
      </c>
      <c r="J15" s="3">
        <f t="shared" si="12"/>
        <v>0</v>
      </c>
      <c r="K15" s="3">
        <f t="shared" si="12"/>
        <v>0</v>
      </c>
      <c r="L15" s="3">
        <f t="shared" si="12"/>
        <v>0</v>
      </c>
      <c r="M15" s="3">
        <f t="shared" si="12"/>
        <v>0</v>
      </c>
      <c r="N15" s="3">
        <f t="shared" si="12"/>
        <v>0</v>
      </c>
      <c r="O15" s="3">
        <f t="shared" si="12"/>
        <v>0</v>
      </c>
      <c r="P15" s="3"/>
      <c r="Q15" s="41" t="s">
        <v>42</v>
      </c>
      <c r="R15" s="27">
        <f t="shared" si="2"/>
        <v>0</v>
      </c>
      <c r="S15" s="26"/>
      <c r="T15" s="26"/>
      <c r="U15" s="27">
        <f t="shared" si="4"/>
        <v>0</v>
      </c>
    </row>
    <row r="16" spans="2:21" ht="18" thickBot="1" x14ac:dyDescent="0.5"/>
    <row r="17" spans="2:26" ht="34.5" thickBot="1" x14ac:dyDescent="0.5">
      <c r="B17" s="18" t="s">
        <v>0</v>
      </c>
      <c r="C17" s="11"/>
      <c r="D17" s="13" t="s">
        <v>3</v>
      </c>
      <c r="E17" s="14" t="s">
        <v>88</v>
      </c>
      <c r="F17" s="14" t="s">
        <v>11</v>
      </c>
      <c r="G17" s="14" t="s">
        <v>12</v>
      </c>
      <c r="H17" s="14" t="s">
        <v>13</v>
      </c>
      <c r="I17" s="14" t="s">
        <v>14</v>
      </c>
      <c r="J17" s="14" t="s">
        <v>15</v>
      </c>
      <c r="K17" s="14" t="s">
        <v>27</v>
      </c>
      <c r="L17" s="43" t="s">
        <v>71</v>
      </c>
      <c r="M17" s="14" t="s">
        <v>42</v>
      </c>
      <c r="N17" s="43" t="s">
        <v>69</v>
      </c>
      <c r="O17" s="44" t="s">
        <v>70</v>
      </c>
      <c r="Q17" s="40" t="s">
        <v>36</v>
      </c>
      <c r="R17" s="75" t="s">
        <v>37</v>
      </c>
      <c r="S17" s="76"/>
      <c r="T17" s="76"/>
      <c r="U17" s="76"/>
      <c r="V17" s="77"/>
      <c r="W17" s="53" t="s">
        <v>66</v>
      </c>
      <c r="X17" s="53" t="s">
        <v>68</v>
      </c>
      <c r="Y17"/>
    </row>
    <row r="18" spans="2:26" ht="17" customHeight="1" x14ac:dyDescent="0.45">
      <c r="B18" s="47"/>
      <c r="C18" s="23" t="s">
        <v>7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42"/>
      <c r="O18" s="42"/>
      <c r="Q18" s="55" t="s">
        <v>76</v>
      </c>
      <c r="R18" s="78" t="s">
        <v>77</v>
      </c>
      <c r="S18" s="79"/>
      <c r="T18" s="79"/>
      <c r="U18" s="79"/>
      <c r="V18" s="80"/>
      <c r="W18" s="53">
        <v>1</v>
      </c>
      <c r="X18" s="53"/>
      <c r="Y18"/>
    </row>
    <row r="19" spans="2:26" ht="17" customHeight="1" x14ac:dyDescent="0.45">
      <c r="B19" s="47"/>
      <c r="C19" s="22" t="s">
        <v>16</v>
      </c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39"/>
      <c r="O19" s="39"/>
      <c r="Q19" s="55" t="s">
        <v>79</v>
      </c>
      <c r="R19" s="78" t="s">
        <v>78</v>
      </c>
      <c r="S19" s="79"/>
      <c r="T19" s="79"/>
      <c r="U19" s="79"/>
      <c r="V19" s="80"/>
      <c r="W19" s="53"/>
      <c r="X19" s="53">
        <v>2</v>
      </c>
      <c r="Y19"/>
    </row>
    <row r="20" spans="2:26" x14ac:dyDescent="0.45">
      <c r="B20" s="54" t="s">
        <v>74</v>
      </c>
      <c r="C20" s="22" t="s">
        <v>8</v>
      </c>
      <c r="D20" s="53"/>
      <c r="E20" s="53"/>
      <c r="F20" s="8"/>
      <c r="G20" s="8"/>
      <c r="H20" s="8"/>
      <c r="I20" s="8"/>
      <c r="J20" s="8"/>
      <c r="K20" s="8"/>
      <c r="L20" s="8"/>
      <c r="M20" s="8"/>
      <c r="N20" s="39"/>
      <c r="O20" s="39"/>
      <c r="Q20" s="40"/>
      <c r="R20" s="75"/>
      <c r="S20" s="76"/>
      <c r="T20" s="76"/>
      <c r="U20" s="76"/>
      <c r="V20" s="77"/>
      <c r="W20" s="53"/>
      <c r="X20" s="53"/>
      <c r="Y20"/>
    </row>
    <row r="21" spans="2:26" ht="17" x14ac:dyDescent="0.45">
      <c r="B21" s="47"/>
      <c r="C21" s="22" t="s">
        <v>9</v>
      </c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39"/>
      <c r="O21" s="39"/>
      <c r="Q21" s="40"/>
      <c r="R21" s="75"/>
      <c r="S21" s="76"/>
      <c r="T21" s="76"/>
      <c r="U21" s="76"/>
      <c r="V21" s="77"/>
      <c r="W21" s="53"/>
      <c r="X21" s="53"/>
      <c r="Y21"/>
      <c r="Z21"/>
    </row>
    <row r="22" spans="2:26" ht="17" x14ac:dyDescent="0.45">
      <c r="B22" s="47"/>
      <c r="C22" s="22" t="s">
        <v>10</v>
      </c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39"/>
      <c r="O22" s="39"/>
      <c r="Q22" s="40"/>
      <c r="R22" s="75"/>
      <c r="S22" s="76"/>
      <c r="T22" s="76"/>
      <c r="U22" s="76"/>
      <c r="V22" s="77"/>
      <c r="W22" s="53"/>
      <c r="X22" s="53"/>
      <c r="Y22"/>
      <c r="Z22"/>
    </row>
    <row r="23" spans="2:26" ht="17" x14ac:dyDescent="0.45">
      <c r="B23" s="47"/>
      <c r="C23" s="22" t="s">
        <v>17</v>
      </c>
      <c r="D23" s="53"/>
      <c r="E23" s="53"/>
      <c r="F23" s="53"/>
      <c r="G23" s="53"/>
      <c r="H23" s="53"/>
      <c r="I23" s="53"/>
      <c r="J23" s="53"/>
      <c r="K23" s="53"/>
      <c r="L23" s="53"/>
      <c r="M23" s="53"/>
      <c r="N23" s="39"/>
      <c r="O23" s="39"/>
      <c r="Q23" s="40"/>
      <c r="R23" s="75"/>
      <c r="S23" s="76"/>
      <c r="T23" s="76"/>
      <c r="U23" s="76"/>
      <c r="V23" s="77"/>
      <c r="W23" s="53"/>
      <c r="X23" s="53"/>
      <c r="Y23"/>
      <c r="Z23"/>
    </row>
    <row r="24" spans="2:26" ht="17" x14ac:dyDescent="0.45">
      <c r="B24" s="47"/>
      <c r="C24" s="22" t="s">
        <v>19</v>
      </c>
      <c r="D24" s="53"/>
      <c r="E24" s="53"/>
      <c r="F24" s="53"/>
      <c r="G24" s="53"/>
      <c r="H24" s="53"/>
      <c r="I24" s="53"/>
      <c r="J24" s="53"/>
      <c r="K24" s="53"/>
      <c r="L24" s="53"/>
      <c r="M24" s="53"/>
      <c r="N24" s="39"/>
      <c r="O24" s="39"/>
      <c r="Q24" s="40"/>
      <c r="R24" s="75"/>
      <c r="S24" s="76"/>
      <c r="T24" s="76"/>
      <c r="U24" s="76"/>
      <c r="V24" s="77"/>
      <c r="W24" s="53"/>
      <c r="X24" s="53"/>
      <c r="Y24"/>
      <c r="Z24"/>
    </row>
    <row r="25" spans="2:26" ht="17" x14ac:dyDescent="0.45">
      <c r="B25" s="47"/>
      <c r="C25" s="22" t="s">
        <v>20</v>
      </c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39"/>
      <c r="O25" s="39"/>
      <c r="Q25" s="40"/>
      <c r="R25" s="75"/>
      <c r="S25" s="76"/>
      <c r="T25" s="76"/>
      <c r="U25" s="76"/>
      <c r="V25" s="77"/>
      <c r="W25" s="53"/>
      <c r="X25" s="53"/>
      <c r="Y25"/>
      <c r="Z25"/>
    </row>
    <row r="26" spans="2:26" ht="17" x14ac:dyDescent="0.45">
      <c r="B26" s="47"/>
      <c r="C26" s="22" t="s">
        <v>21</v>
      </c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39"/>
      <c r="O26" s="39"/>
      <c r="Q26" s="40"/>
      <c r="R26" s="75"/>
      <c r="S26" s="76"/>
      <c r="T26" s="76"/>
      <c r="U26" s="76"/>
      <c r="V26" s="77"/>
      <c r="W26" s="53"/>
      <c r="X26" s="53"/>
      <c r="Y26"/>
      <c r="Z26"/>
    </row>
    <row r="27" spans="2:26" ht="17" x14ac:dyDescent="0.45">
      <c r="B27" s="47"/>
      <c r="C27" s="22" t="s">
        <v>22</v>
      </c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39"/>
      <c r="O27" s="39"/>
      <c r="Q27" s="40"/>
      <c r="R27" s="75"/>
      <c r="S27" s="76"/>
      <c r="T27" s="76"/>
      <c r="U27" s="76"/>
      <c r="V27" s="77"/>
      <c r="W27" s="53"/>
      <c r="X27" s="53"/>
      <c r="Y27"/>
      <c r="Z27"/>
    </row>
    <row r="28" spans="2:26" ht="17" x14ac:dyDescent="0.45">
      <c r="B28" s="54" t="s">
        <v>75</v>
      </c>
      <c r="C28" s="22" t="s">
        <v>28</v>
      </c>
      <c r="D28" s="53"/>
      <c r="E28" s="53"/>
      <c r="F28" s="53"/>
      <c r="G28" s="53"/>
      <c r="H28" s="53"/>
      <c r="I28" s="53"/>
      <c r="J28" s="53"/>
      <c r="K28" s="53">
        <v>1</v>
      </c>
      <c r="L28" s="53"/>
      <c r="M28" s="53"/>
      <c r="N28" s="39"/>
      <c r="O28" s="39"/>
      <c r="Q28" s="40"/>
      <c r="R28" s="75"/>
      <c r="S28" s="76"/>
      <c r="T28" s="76"/>
      <c r="U28" s="76"/>
      <c r="V28" s="77"/>
      <c r="W28" s="53"/>
      <c r="X28" s="53"/>
      <c r="Y28"/>
      <c r="Z28"/>
    </row>
    <row r="29" spans="2:26" x14ac:dyDescent="0.45">
      <c r="B29" s="47"/>
      <c r="C29" s="22" t="s">
        <v>29</v>
      </c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39"/>
      <c r="O29" s="39"/>
    </row>
    <row r="30" spans="2:26" ht="18" thickBot="1" x14ac:dyDescent="0.5"/>
    <row r="31" spans="2:26" ht="18" thickBot="1" x14ac:dyDescent="0.5">
      <c r="C31" s="52" t="s">
        <v>30</v>
      </c>
      <c r="D31" s="69"/>
      <c r="E31" s="71"/>
      <c r="G31" s="52" t="s">
        <v>30</v>
      </c>
      <c r="H31" s="69"/>
      <c r="I31" s="71"/>
      <c r="K31" s="52" t="s">
        <v>30</v>
      </c>
      <c r="L31" s="69"/>
      <c r="M31" s="71"/>
      <c r="Q31" s="28"/>
      <c r="R31" s="67" t="s">
        <v>41</v>
      </c>
      <c r="S31" s="67"/>
      <c r="T31" s="67"/>
      <c r="U31" s="67"/>
    </row>
    <row r="32" spans="2:26" x14ac:dyDescent="0.45">
      <c r="C32" s="37" t="s">
        <v>1</v>
      </c>
      <c r="D32" s="8" t="s">
        <v>5</v>
      </c>
      <c r="E32" s="38" t="s">
        <v>23</v>
      </c>
      <c r="G32" s="37" t="s">
        <v>1</v>
      </c>
      <c r="H32" s="8" t="s">
        <v>5</v>
      </c>
      <c r="I32" s="38" t="s">
        <v>23</v>
      </c>
      <c r="K32" s="37" t="s">
        <v>1</v>
      </c>
      <c r="L32" s="8" t="s">
        <v>5</v>
      </c>
      <c r="M32" s="38" t="s">
        <v>23</v>
      </c>
      <c r="Q32" s="28"/>
      <c r="R32" s="30" t="s">
        <v>27</v>
      </c>
      <c r="S32" s="30" t="s">
        <v>47</v>
      </c>
      <c r="T32" s="30" t="s">
        <v>42</v>
      </c>
      <c r="U32" s="31" t="s">
        <v>23</v>
      </c>
    </row>
    <row r="33" spans="2:21" s="28" customFormat="1" x14ac:dyDescent="0.45">
      <c r="B33" s="1"/>
      <c r="C33" s="48" t="s">
        <v>2</v>
      </c>
      <c r="D33" s="3"/>
      <c r="E33" s="34">
        <f>SUM($D$36)*5</f>
        <v>0</v>
      </c>
      <c r="F33"/>
      <c r="G33" s="48" t="s">
        <v>2</v>
      </c>
      <c r="H33" s="3"/>
      <c r="I33" s="34">
        <f>SUM($H$36)*5</f>
        <v>0</v>
      </c>
      <c r="J33"/>
      <c r="K33" s="45" t="s">
        <v>2</v>
      </c>
      <c r="L33" s="3">
        <v>30</v>
      </c>
      <c r="M33" s="34">
        <f>SUM($L$36)*5</f>
        <v>30</v>
      </c>
      <c r="N33"/>
      <c r="O33"/>
      <c r="P33"/>
      <c r="Q33" s="32" t="s">
        <v>48</v>
      </c>
      <c r="R33" s="33"/>
      <c r="S33" s="33">
        <f>U15</f>
        <v>0</v>
      </c>
      <c r="T33" s="33"/>
      <c r="U33" s="33"/>
    </row>
    <row r="34" spans="2:21" s="28" customFormat="1" x14ac:dyDescent="0.45">
      <c r="B34" s="1"/>
      <c r="C34" s="48" t="s">
        <v>6</v>
      </c>
      <c r="D34" s="3"/>
      <c r="E34" s="34">
        <f>SUM($D$36)*5</f>
        <v>0</v>
      </c>
      <c r="F34"/>
      <c r="G34" s="48" t="s">
        <v>6</v>
      </c>
      <c r="H34" s="3"/>
      <c r="I34" s="34">
        <f>SUM($H$36)*5</f>
        <v>0</v>
      </c>
      <c r="J34"/>
      <c r="K34" s="45" t="s">
        <v>6</v>
      </c>
      <c r="L34" s="3">
        <v>30</v>
      </c>
      <c r="M34" s="34">
        <f>SUM($L$36)*5</f>
        <v>30</v>
      </c>
      <c r="N34"/>
      <c r="O34"/>
      <c r="P34"/>
      <c r="Q34" s="33" t="s">
        <v>49</v>
      </c>
      <c r="R34" s="33"/>
      <c r="S34" s="33"/>
      <c r="T34" s="33">
        <f>U15</f>
        <v>0</v>
      </c>
      <c r="U34" s="33"/>
    </row>
    <row r="35" spans="2:21" s="28" customFormat="1" x14ac:dyDescent="0.45">
      <c r="B35" s="1"/>
      <c r="C35" s="48" t="s">
        <v>3</v>
      </c>
      <c r="D35" s="3"/>
      <c r="E35" s="34">
        <f>SUM(D35)</f>
        <v>0</v>
      </c>
      <c r="F35"/>
      <c r="G35" s="48" t="s">
        <v>3</v>
      </c>
      <c r="H35" s="3"/>
      <c r="I35" s="34">
        <f>SUM(H35)</f>
        <v>0</v>
      </c>
      <c r="J35"/>
      <c r="K35" s="45" t="s">
        <v>3</v>
      </c>
      <c r="L35" s="3">
        <v>6</v>
      </c>
      <c r="M35" s="34">
        <f>SUM(L35)</f>
        <v>6</v>
      </c>
      <c r="N35"/>
      <c r="O35"/>
      <c r="P35"/>
      <c r="Q35"/>
      <c r="R35"/>
      <c r="S35"/>
      <c r="T35"/>
      <c r="U35"/>
    </row>
    <row r="36" spans="2:21" s="28" customFormat="1" x14ac:dyDescent="0.45">
      <c r="B36" s="1"/>
      <c r="C36" s="48" t="s">
        <v>88</v>
      </c>
      <c r="D36" s="3"/>
      <c r="E36" s="34">
        <f t="shared" ref="E36:E42" si="13">SUM(D36)</f>
        <v>0</v>
      </c>
      <c r="F36"/>
      <c r="G36" s="48" t="s">
        <v>88</v>
      </c>
      <c r="H36" s="3"/>
      <c r="I36" s="34">
        <f t="shared" ref="I36:I42" si="14">SUM(H36)</f>
        <v>0</v>
      </c>
      <c r="J36"/>
      <c r="K36" s="45" t="s">
        <v>88</v>
      </c>
      <c r="L36" s="3">
        <v>6</v>
      </c>
      <c r="M36" s="34">
        <f t="shared" ref="M36:M42" si="15">SUM(L36)</f>
        <v>6</v>
      </c>
      <c r="N36"/>
      <c r="O36"/>
      <c r="P36"/>
      <c r="Q36"/>
      <c r="R36"/>
      <c r="S36"/>
      <c r="T36"/>
      <c r="U36"/>
    </row>
    <row r="37" spans="2:21" s="28" customFormat="1" x14ac:dyDescent="0.45">
      <c r="B37" s="1"/>
      <c r="C37" s="48" t="s">
        <v>11</v>
      </c>
      <c r="D37" s="3"/>
      <c r="E37" s="34">
        <f t="shared" si="13"/>
        <v>0</v>
      </c>
      <c r="F37"/>
      <c r="G37" s="48" t="s">
        <v>11</v>
      </c>
      <c r="H37" s="3"/>
      <c r="I37" s="34">
        <f t="shared" si="14"/>
        <v>0</v>
      </c>
      <c r="J37"/>
      <c r="K37" s="45" t="s">
        <v>11</v>
      </c>
      <c r="L37" s="3">
        <v>6</v>
      </c>
      <c r="M37" s="34">
        <f t="shared" si="15"/>
        <v>6</v>
      </c>
      <c r="N37"/>
      <c r="O37"/>
      <c r="P37"/>
      <c r="Q37"/>
      <c r="R37"/>
      <c r="S37"/>
      <c r="T37"/>
      <c r="U37"/>
    </row>
    <row r="38" spans="2:21" s="28" customFormat="1" x14ac:dyDescent="0.45">
      <c r="B38" s="1"/>
      <c r="C38" s="48" t="s">
        <v>12</v>
      </c>
      <c r="D38" s="3"/>
      <c r="E38" s="34">
        <f t="shared" si="13"/>
        <v>0</v>
      </c>
      <c r="F38"/>
      <c r="G38" s="48" t="s">
        <v>12</v>
      </c>
      <c r="H38" s="3"/>
      <c r="I38" s="34">
        <f t="shared" si="14"/>
        <v>0</v>
      </c>
      <c r="J38"/>
      <c r="K38" s="45" t="s">
        <v>12</v>
      </c>
      <c r="L38" s="3">
        <v>6</v>
      </c>
      <c r="M38" s="34">
        <f t="shared" si="15"/>
        <v>6</v>
      </c>
      <c r="N38"/>
      <c r="O38"/>
      <c r="P38"/>
      <c r="Q38"/>
      <c r="R38"/>
      <c r="S38"/>
      <c r="T38"/>
      <c r="U38"/>
    </row>
    <row r="39" spans="2:21" s="28" customFormat="1" x14ac:dyDescent="0.45">
      <c r="B39" s="1"/>
      <c r="C39" s="48" t="s">
        <v>13</v>
      </c>
      <c r="D39" s="3"/>
      <c r="E39" s="34">
        <f t="shared" si="13"/>
        <v>0</v>
      </c>
      <c r="F39"/>
      <c r="G39" s="48" t="s">
        <v>13</v>
      </c>
      <c r="H39" s="3"/>
      <c r="I39" s="34">
        <f t="shared" si="14"/>
        <v>0</v>
      </c>
      <c r="J39"/>
      <c r="K39" s="45" t="s">
        <v>13</v>
      </c>
      <c r="L39" s="3">
        <v>6</v>
      </c>
      <c r="M39" s="34">
        <f t="shared" si="15"/>
        <v>6</v>
      </c>
      <c r="N39"/>
      <c r="O39"/>
      <c r="P39"/>
      <c r="Q39"/>
      <c r="R39"/>
      <c r="S39"/>
      <c r="T39"/>
      <c r="U39"/>
    </row>
    <row r="40" spans="2:21" s="28" customFormat="1" x14ac:dyDescent="0.45">
      <c r="B40" s="1"/>
      <c r="C40" s="48" t="s">
        <v>14</v>
      </c>
      <c r="D40" s="3"/>
      <c r="E40" s="34">
        <f t="shared" si="13"/>
        <v>0</v>
      </c>
      <c r="F40"/>
      <c r="G40" s="48" t="s">
        <v>14</v>
      </c>
      <c r="H40" s="3"/>
      <c r="I40" s="34">
        <f t="shared" si="14"/>
        <v>0</v>
      </c>
      <c r="J40"/>
      <c r="K40" s="45" t="s">
        <v>14</v>
      </c>
      <c r="L40" s="3">
        <v>6</v>
      </c>
      <c r="M40" s="34">
        <f t="shared" si="15"/>
        <v>6</v>
      </c>
      <c r="N40"/>
      <c r="O40"/>
      <c r="P40"/>
      <c r="Q40"/>
      <c r="R40"/>
      <c r="S40"/>
      <c r="T40"/>
      <c r="U40"/>
    </row>
    <row r="41" spans="2:21" s="28" customFormat="1" x14ac:dyDescent="0.45">
      <c r="B41" s="1"/>
      <c r="C41" s="48" t="s">
        <v>15</v>
      </c>
      <c r="D41" s="3"/>
      <c r="E41" s="34">
        <f t="shared" si="13"/>
        <v>0</v>
      </c>
      <c r="F41"/>
      <c r="G41" s="48" t="s">
        <v>15</v>
      </c>
      <c r="H41" s="3"/>
      <c r="I41" s="34">
        <f t="shared" si="14"/>
        <v>0</v>
      </c>
      <c r="J41"/>
      <c r="K41" s="45" t="s">
        <v>15</v>
      </c>
      <c r="L41" s="3">
        <v>6</v>
      </c>
      <c r="M41" s="34">
        <f t="shared" si="15"/>
        <v>6</v>
      </c>
      <c r="N41"/>
      <c r="O41"/>
      <c r="P41"/>
      <c r="Q41"/>
      <c r="R41"/>
      <c r="S41"/>
      <c r="T41"/>
      <c r="U41"/>
    </row>
    <row r="42" spans="2:21" s="28" customFormat="1" ht="18" thickBot="1" x14ac:dyDescent="0.5">
      <c r="B42" s="1"/>
      <c r="C42" s="49" t="s">
        <v>27</v>
      </c>
      <c r="D42" s="35"/>
      <c r="E42" s="36">
        <f t="shared" si="13"/>
        <v>0</v>
      </c>
      <c r="F42"/>
      <c r="G42" s="49" t="s">
        <v>27</v>
      </c>
      <c r="H42" s="35"/>
      <c r="I42" s="36">
        <f t="shared" si="14"/>
        <v>0</v>
      </c>
      <c r="J42"/>
      <c r="K42" s="46" t="s">
        <v>27</v>
      </c>
      <c r="L42" s="35" t="s">
        <v>24</v>
      </c>
      <c r="M42" s="36">
        <f t="shared" si="15"/>
        <v>0</v>
      </c>
      <c r="N42"/>
      <c r="O42"/>
      <c r="P42"/>
      <c r="Q42"/>
      <c r="R42"/>
      <c r="S42"/>
      <c r="T42"/>
      <c r="U42"/>
    </row>
    <row r="43" spans="2:21" s="28" customFormat="1" ht="18" thickBot="1" x14ac:dyDescent="0.5">
      <c r="B43" s="1"/>
      <c r="C43" s="1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</row>
    <row r="44" spans="2:21" s="28" customFormat="1" ht="18" thickBot="1" x14ac:dyDescent="0.5">
      <c r="B44" s="1"/>
      <c r="C44" s="52" t="s">
        <v>50</v>
      </c>
      <c r="D44" s="69" t="s">
        <v>87</v>
      </c>
      <c r="E44" s="71"/>
      <c r="F44"/>
      <c r="G44" s="52" t="s">
        <v>50</v>
      </c>
      <c r="H44" s="69" t="s">
        <v>87</v>
      </c>
      <c r="I44" s="71"/>
      <c r="J44"/>
      <c r="K44"/>
      <c r="L44"/>
      <c r="M44"/>
      <c r="N44"/>
      <c r="O44"/>
      <c r="P44"/>
      <c r="Q44"/>
      <c r="R44"/>
      <c r="S44"/>
      <c r="T44"/>
      <c r="U44"/>
    </row>
    <row r="45" spans="2:21" s="28" customFormat="1" ht="17.5" customHeight="1" x14ac:dyDescent="0.45">
      <c r="B45" s="1"/>
      <c r="C45" s="37" t="s">
        <v>1</v>
      </c>
      <c r="D45" s="8" t="s">
        <v>5</v>
      </c>
      <c r="E45" s="38" t="s">
        <v>23</v>
      </c>
      <c r="F45"/>
      <c r="G45" s="37" t="s">
        <v>1</v>
      </c>
      <c r="H45" s="8" t="s">
        <v>5</v>
      </c>
      <c r="I45" s="38" t="s">
        <v>23</v>
      </c>
      <c r="J45"/>
      <c r="K45"/>
      <c r="L45"/>
      <c r="M45"/>
      <c r="N45"/>
      <c r="O45"/>
      <c r="P45"/>
      <c r="Q45"/>
      <c r="R45"/>
      <c r="S45"/>
      <c r="T45"/>
      <c r="U45"/>
    </row>
    <row r="46" spans="2:21" s="28" customFormat="1" ht="17.5" customHeight="1" x14ac:dyDescent="0.45">
      <c r="B46" s="1"/>
      <c r="C46" s="48" t="s">
        <v>2</v>
      </c>
      <c r="D46" s="3">
        <v>30</v>
      </c>
      <c r="E46" s="34">
        <f>SUM($L$36)*5</f>
        <v>30</v>
      </c>
      <c r="F46"/>
      <c r="G46" s="48" t="s">
        <v>2</v>
      </c>
      <c r="H46" s="3">
        <v>40</v>
      </c>
      <c r="I46" s="34">
        <f>SUM($L$36)*5</f>
        <v>30</v>
      </c>
      <c r="J46"/>
      <c r="K46"/>
      <c r="L46"/>
      <c r="M46"/>
      <c r="N46"/>
      <c r="O46"/>
      <c r="P46"/>
      <c r="Q46"/>
      <c r="R46"/>
      <c r="S46"/>
      <c r="T46"/>
      <c r="U46"/>
    </row>
    <row r="47" spans="2:21" s="28" customFormat="1" x14ac:dyDescent="0.45">
      <c r="B47" s="1"/>
      <c r="C47" s="48" t="s">
        <v>6</v>
      </c>
      <c r="D47" s="3">
        <v>30</v>
      </c>
      <c r="E47" s="34">
        <f>SUM($L$36)*5</f>
        <v>30</v>
      </c>
      <c r="F47"/>
      <c r="G47" s="48" t="s">
        <v>6</v>
      </c>
      <c r="H47" s="3">
        <v>30</v>
      </c>
      <c r="I47" s="34">
        <f>SUM($L$36)*5</f>
        <v>30</v>
      </c>
      <c r="J47"/>
      <c r="K47"/>
      <c r="L47"/>
      <c r="M47"/>
      <c r="N47"/>
      <c r="O47"/>
      <c r="P47"/>
      <c r="Q47"/>
      <c r="R47"/>
      <c r="S47"/>
      <c r="T47"/>
      <c r="U47"/>
    </row>
    <row r="48" spans="2:21" s="28" customFormat="1" x14ac:dyDescent="0.45">
      <c r="B48" s="1"/>
      <c r="C48" s="48" t="s">
        <v>3</v>
      </c>
      <c r="D48" s="3">
        <v>8</v>
      </c>
      <c r="E48" s="34">
        <f t="shared" ref="E48:E55" si="16">SUM(D48)</f>
        <v>8</v>
      </c>
      <c r="F48"/>
      <c r="G48" s="48" t="s">
        <v>3</v>
      </c>
      <c r="H48" s="3">
        <v>8</v>
      </c>
      <c r="I48" s="34">
        <f t="shared" ref="I48:I55" si="17">SUM(H48)</f>
        <v>8</v>
      </c>
      <c r="J48"/>
      <c r="K48"/>
      <c r="L48"/>
      <c r="M48"/>
      <c r="N48"/>
      <c r="O48"/>
      <c r="P48"/>
      <c r="Q48"/>
      <c r="R48"/>
      <c r="S48"/>
      <c r="T48"/>
      <c r="U48"/>
    </row>
    <row r="49" spans="2:21" s="28" customFormat="1" x14ac:dyDescent="0.45">
      <c r="B49" s="1"/>
      <c r="C49" s="48" t="s">
        <v>88</v>
      </c>
      <c r="D49" s="3">
        <v>7</v>
      </c>
      <c r="E49" s="34">
        <f t="shared" si="16"/>
        <v>7</v>
      </c>
      <c r="F49"/>
      <c r="G49" s="48" t="s">
        <v>88</v>
      </c>
      <c r="H49" s="3">
        <v>7</v>
      </c>
      <c r="I49" s="34">
        <f t="shared" si="17"/>
        <v>7</v>
      </c>
      <c r="J49"/>
      <c r="K49"/>
      <c r="L49"/>
      <c r="M49"/>
      <c r="N49"/>
      <c r="O49"/>
      <c r="P49"/>
      <c r="Q49"/>
      <c r="R49"/>
      <c r="S49"/>
      <c r="T49"/>
      <c r="U49"/>
    </row>
    <row r="50" spans="2:21" s="28" customFormat="1" x14ac:dyDescent="0.45">
      <c r="B50" s="1"/>
      <c r="C50" s="48" t="s">
        <v>11</v>
      </c>
      <c r="D50" s="3">
        <v>4</v>
      </c>
      <c r="E50" s="34">
        <f t="shared" si="16"/>
        <v>4</v>
      </c>
      <c r="F50"/>
      <c r="G50" s="48" t="s">
        <v>11</v>
      </c>
      <c r="H50" s="3">
        <v>4</v>
      </c>
      <c r="I50" s="34">
        <f t="shared" si="17"/>
        <v>4</v>
      </c>
      <c r="J50"/>
      <c r="K50"/>
      <c r="L50"/>
      <c r="M50"/>
      <c r="N50"/>
      <c r="O50"/>
      <c r="P50"/>
      <c r="Q50"/>
      <c r="R50"/>
      <c r="S50"/>
      <c r="T50"/>
      <c r="U50"/>
    </row>
    <row r="51" spans="2:21" s="28" customFormat="1" x14ac:dyDescent="0.45">
      <c r="B51" s="1"/>
      <c r="C51" s="48" t="s">
        <v>12</v>
      </c>
      <c r="D51" s="3">
        <v>5</v>
      </c>
      <c r="E51" s="34">
        <f t="shared" si="16"/>
        <v>5</v>
      </c>
      <c r="F51"/>
      <c r="G51" s="48" t="s">
        <v>12</v>
      </c>
      <c r="H51" s="3">
        <v>5</v>
      </c>
      <c r="I51" s="34">
        <f t="shared" si="17"/>
        <v>5</v>
      </c>
      <c r="J51"/>
      <c r="K51"/>
      <c r="L51"/>
      <c r="M51"/>
      <c r="N51"/>
      <c r="O51"/>
      <c r="P51"/>
      <c r="Q51"/>
      <c r="R51"/>
      <c r="S51"/>
      <c r="T51"/>
      <c r="U51"/>
    </row>
    <row r="52" spans="2:21" s="28" customFormat="1" x14ac:dyDescent="0.45">
      <c r="B52" s="1"/>
      <c r="C52" s="48" t="s">
        <v>13</v>
      </c>
      <c r="D52" s="3">
        <v>3</v>
      </c>
      <c r="E52" s="34">
        <f t="shared" si="16"/>
        <v>3</v>
      </c>
      <c r="F52"/>
      <c r="G52" s="48" t="s">
        <v>13</v>
      </c>
      <c r="H52" s="3">
        <v>3</v>
      </c>
      <c r="I52" s="34">
        <f t="shared" si="17"/>
        <v>3</v>
      </c>
      <c r="J52"/>
      <c r="K52"/>
      <c r="L52"/>
      <c r="M52"/>
      <c r="N52"/>
      <c r="O52"/>
      <c r="P52"/>
      <c r="Q52"/>
      <c r="R52"/>
      <c r="S52"/>
      <c r="T52"/>
      <c r="U52"/>
    </row>
    <row r="53" spans="2:21" s="28" customFormat="1" x14ac:dyDescent="0.45">
      <c r="B53" s="1"/>
      <c r="C53" s="48" t="s">
        <v>14</v>
      </c>
      <c r="D53" s="3">
        <v>2</v>
      </c>
      <c r="E53" s="34">
        <f t="shared" si="16"/>
        <v>2</v>
      </c>
      <c r="F53"/>
      <c r="G53" s="48" t="s">
        <v>14</v>
      </c>
      <c r="H53" s="3">
        <v>2</v>
      </c>
      <c r="I53" s="34">
        <f t="shared" si="17"/>
        <v>2</v>
      </c>
      <c r="J53"/>
      <c r="K53"/>
      <c r="L53"/>
      <c r="M53"/>
      <c r="N53"/>
      <c r="O53"/>
      <c r="P53"/>
      <c r="Q53"/>
      <c r="R53"/>
      <c r="S53"/>
      <c r="T53"/>
      <c r="U53"/>
    </row>
    <row r="54" spans="2:21" s="28" customFormat="1" x14ac:dyDescent="0.45">
      <c r="B54" s="1"/>
      <c r="C54" s="48" t="s">
        <v>15</v>
      </c>
      <c r="D54" s="3">
        <v>4</v>
      </c>
      <c r="E54" s="34">
        <f t="shared" si="16"/>
        <v>4</v>
      </c>
      <c r="F54"/>
      <c r="G54" s="48" t="s">
        <v>15</v>
      </c>
      <c r="H54" s="3">
        <v>4</v>
      </c>
      <c r="I54" s="34">
        <f t="shared" si="17"/>
        <v>4</v>
      </c>
      <c r="J54"/>
      <c r="K54"/>
      <c r="L54"/>
      <c r="M54"/>
      <c r="N54"/>
      <c r="O54"/>
      <c r="P54"/>
      <c r="Q54"/>
      <c r="R54"/>
      <c r="S54"/>
      <c r="T54"/>
      <c r="U54"/>
    </row>
    <row r="55" spans="2:21" s="28" customFormat="1" ht="18" thickBot="1" x14ac:dyDescent="0.5">
      <c r="B55" s="1"/>
      <c r="C55" s="49" t="s">
        <v>27</v>
      </c>
      <c r="D55" s="35" t="s">
        <v>24</v>
      </c>
      <c r="E55" s="36">
        <f t="shared" si="16"/>
        <v>0</v>
      </c>
      <c r="F55"/>
      <c r="G55" s="49" t="s">
        <v>27</v>
      </c>
      <c r="H55" s="35" t="s">
        <v>24</v>
      </c>
      <c r="I55" s="36">
        <f t="shared" si="17"/>
        <v>0</v>
      </c>
      <c r="J55"/>
      <c r="K55"/>
      <c r="L55"/>
      <c r="M55"/>
      <c r="N55"/>
      <c r="O55"/>
      <c r="P55"/>
      <c r="Q55"/>
      <c r="R55"/>
      <c r="S55"/>
      <c r="T55"/>
      <c r="U55"/>
    </row>
    <row r="56" spans="2:21" s="28" customFormat="1" x14ac:dyDescent="0.45">
      <c r="B56" s="1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</row>
    <row r="57" spans="2:21" s="28" customFormat="1" x14ac:dyDescent="0.45">
      <c r="B57" s="1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</row>
  </sheetData>
  <mergeCells count="24">
    <mergeCell ref="D31:E31"/>
    <mergeCell ref="H31:I31"/>
    <mergeCell ref="L31:M31"/>
    <mergeCell ref="R31:U31"/>
    <mergeCell ref="D44:E44"/>
    <mergeCell ref="H44:I44"/>
    <mergeCell ref="S2:U2"/>
    <mergeCell ref="R28:V28"/>
    <mergeCell ref="R17:V17"/>
    <mergeCell ref="R18:V18"/>
    <mergeCell ref="R19:V19"/>
    <mergeCell ref="R20:V20"/>
    <mergeCell ref="R21:V21"/>
    <mergeCell ref="R22:V22"/>
    <mergeCell ref="R23:V23"/>
    <mergeCell ref="R24:V24"/>
    <mergeCell ref="R25:V25"/>
    <mergeCell ref="R26:V26"/>
    <mergeCell ref="R27:V27"/>
    <mergeCell ref="D4:O5"/>
    <mergeCell ref="D2:I2"/>
    <mergeCell ref="J2:M2"/>
    <mergeCell ref="N2:O2"/>
    <mergeCell ref="Q2:Q3"/>
  </mergeCells>
  <phoneticPr fontId="6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리아</vt:lpstr>
      <vt:lpstr>루나</vt:lpstr>
      <vt:lpstr>세실리아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JooWan Ha</dc:creator>
  <cp:lastModifiedBy>JooWan Ha</cp:lastModifiedBy>
  <dcterms:created xsi:type="dcterms:W3CDTF">2026-02-17T02:42:56Z</dcterms:created>
  <dcterms:modified xsi:type="dcterms:W3CDTF">2026-04-16T12:46:01Z</dcterms:modified>
</cp:coreProperties>
</file>